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Sgumus\Desktop\"/>
    </mc:Choice>
  </mc:AlternateContent>
  <xr:revisionPtr revIDLastSave="0" documentId="13_ncr:1_{A7600F73-F1D8-4BBF-8CE9-D46EBF1F500F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Ocak" sheetId="35" r:id="rId1"/>
    <sheet name="Şubat" sheetId="24" r:id="rId2"/>
    <sheet name="Mart" sheetId="25" r:id="rId3"/>
    <sheet name="Nisan" sheetId="26" r:id="rId4"/>
    <sheet name="Mayıs" sheetId="27" r:id="rId5"/>
    <sheet name="Haziran" sheetId="28" r:id="rId6"/>
    <sheet name="Temmuz" sheetId="29" r:id="rId7"/>
    <sheet name="Ağustos" sheetId="30" r:id="rId8"/>
    <sheet name="Eylül" sheetId="31" r:id="rId9"/>
    <sheet name="Ekim" sheetId="38" r:id="rId10"/>
    <sheet name="KASIM" sheetId="39" r:id="rId11"/>
    <sheet name="Aralık" sheetId="40" r:id="rId12"/>
    <sheet name="Sayfa1" sheetId="37" r:id="rId13"/>
    <sheet name="Sayfa2" sheetId="36" r:id="rId14"/>
  </sheets>
  <definedNames>
    <definedName name="_xlnm._FilterDatabase" localSheetId="7" hidden="1">Ağustos!$A$5:$Z$23</definedName>
    <definedName name="_xlnm._FilterDatabase" localSheetId="11" hidden="1">Aralık!$A$5:$Z$31</definedName>
    <definedName name="_xlnm._FilterDatabase" localSheetId="8" hidden="1">Eylül!$A$5:$Z$20</definedName>
    <definedName name="_xlnm._FilterDatabase" localSheetId="5" hidden="1">Haziran!$A$5:$Z$51</definedName>
    <definedName name="_xlnm._FilterDatabase" localSheetId="10" hidden="1">KASIM!$A$5:$Z$26</definedName>
    <definedName name="_xlnm._FilterDatabase" localSheetId="2" hidden="1">Mart!$A$4:$Z$37</definedName>
    <definedName name="_xlnm._FilterDatabase" localSheetId="4" hidden="1">Mayıs!$A$5:$Z$22</definedName>
    <definedName name="_xlnm._FilterDatabase" localSheetId="3" hidden="1">Nisan!$A$5:$Z$14</definedName>
    <definedName name="_xlnm._FilterDatabase" localSheetId="0" hidden="1">Ocak!$A$4:$Z$33</definedName>
    <definedName name="_xlnm._FilterDatabase" localSheetId="1" hidden="1">Şubat!$A$4:$Z$33</definedName>
    <definedName name="_xlnm._FilterDatabase" localSheetId="6" hidden="1">Temmuz!$A$5:$Y$21</definedName>
    <definedName name="_xlnm.Print_Area" localSheetId="7">Ağustos!$A$1:$Z$37</definedName>
    <definedName name="_xlnm.Print_Area" localSheetId="11">Aralık!$A$1:$Z$33</definedName>
    <definedName name="_xlnm.Print_Area" localSheetId="9">Ekim!#REF!</definedName>
    <definedName name="_xlnm.Print_Area" localSheetId="8">Eylül!$A$1:$Z$29</definedName>
    <definedName name="_xlnm.Print_Area" localSheetId="5">Haziran!$A$1:$Z$51</definedName>
    <definedName name="_xlnm.Print_Area" localSheetId="10">KASIM!$A$1:$Z$35</definedName>
    <definedName name="_xlnm.Print_Area" localSheetId="2">Mart!$A$1:$Z$37</definedName>
    <definedName name="_xlnm.Print_Area" localSheetId="4">Mayıs!$A$1:$Z$37</definedName>
    <definedName name="_xlnm.Print_Area" localSheetId="3">Nisan!$A$1:$Z$18</definedName>
    <definedName name="_xlnm.Print_Area" localSheetId="0">Ocak!$A$1:$Z$38</definedName>
    <definedName name="_xlnm.Print_Area" localSheetId="12">Sayfa1!$A$1:$D$15</definedName>
    <definedName name="_xlnm.Print_Area" localSheetId="13">Sayfa2!$A$1:$G$19</definedName>
    <definedName name="_xlnm.Print_Area" localSheetId="1">Şubat!$A$1:$Z$44</definedName>
    <definedName name="_xlnm.Print_Area" localSheetId="6">Temmuz!$A$1:$Z$36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8" i="35" l="1"/>
  <c r="S15" i="35"/>
  <c r="R8" i="35"/>
  <c r="R9" i="35"/>
  <c r="S9" i="35"/>
  <c r="R10" i="35"/>
  <c r="S10" i="35" s="1"/>
  <c r="R11" i="35"/>
  <c r="S11" i="35" s="1"/>
  <c r="R12" i="35"/>
  <c r="S12" i="35" s="1"/>
  <c r="R13" i="35"/>
  <c r="S13" i="35"/>
  <c r="R14" i="35"/>
  <c r="S14" i="35" s="1"/>
  <c r="R15" i="35"/>
  <c r="R16" i="35"/>
  <c r="S16" i="35" s="1"/>
  <c r="R17" i="35"/>
  <c r="S17" i="35"/>
  <c r="R18" i="35"/>
  <c r="S18" i="35" s="1"/>
  <c r="R19" i="35"/>
  <c r="S19" i="35"/>
  <c r="R20" i="35"/>
  <c r="S20" i="35" s="1"/>
  <c r="R21" i="35"/>
  <c r="S21" i="35"/>
  <c r="R22" i="35"/>
  <c r="S22" i="35" s="1"/>
  <c r="R23" i="35"/>
  <c r="S23" i="35"/>
  <c r="R24" i="35"/>
  <c r="S24" i="35" s="1"/>
  <c r="R25" i="35"/>
  <c r="S25" i="35"/>
  <c r="R26" i="35"/>
  <c r="S26" i="35" s="1"/>
  <c r="R27" i="35"/>
  <c r="S27" i="35"/>
  <c r="R28" i="35"/>
  <c r="S28" i="35" s="1"/>
  <c r="R29" i="35"/>
  <c r="S29" i="35"/>
  <c r="R30" i="35"/>
  <c r="S30" i="35" s="1"/>
  <c r="R31" i="35"/>
  <c r="S31" i="35"/>
  <c r="R32" i="35"/>
  <c r="S32" i="35" s="1"/>
  <c r="R33" i="35"/>
  <c r="S33" i="35"/>
  <c r="W33" i="35" s="1"/>
  <c r="Q34" i="35"/>
  <c r="V8" i="35"/>
  <c r="W8" i="35" s="1"/>
  <c r="V9" i="35"/>
  <c r="W9" i="35"/>
  <c r="V10" i="35"/>
  <c r="W10" i="35" s="1"/>
  <c r="V11" i="35"/>
  <c r="W11" i="35" s="1"/>
  <c r="V12" i="35"/>
  <c r="W12" i="35" s="1"/>
  <c r="V13" i="35"/>
  <c r="W13" i="35"/>
  <c r="V14" i="35"/>
  <c r="W14" i="35" s="1"/>
  <c r="V15" i="35"/>
  <c r="W15" i="35" s="1"/>
  <c r="V16" i="35"/>
  <c r="W16" i="35" s="1"/>
  <c r="V17" i="35"/>
  <c r="W17" i="35"/>
  <c r="V18" i="35"/>
  <c r="W18" i="35" s="1"/>
  <c r="V19" i="35"/>
  <c r="W19" i="35"/>
  <c r="V20" i="35"/>
  <c r="W20" i="35" s="1"/>
  <c r="V21" i="35"/>
  <c r="W21" i="35"/>
  <c r="V22" i="35"/>
  <c r="W22" i="35" s="1"/>
  <c r="V23" i="35"/>
  <c r="W23" i="35"/>
  <c r="V24" i="35"/>
  <c r="W24" i="35" s="1"/>
  <c r="V25" i="35"/>
  <c r="W25" i="35"/>
  <c r="V26" i="35"/>
  <c r="W26" i="35" s="1"/>
  <c r="V27" i="35"/>
  <c r="W27" i="35"/>
  <c r="V28" i="35"/>
  <c r="W28" i="35" s="1"/>
  <c r="V29" i="35"/>
  <c r="W29" i="35"/>
  <c r="V30" i="35"/>
  <c r="W30" i="35" s="1"/>
  <c r="V31" i="35"/>
  <c r="W31" i="35"/>
  <c r="V32" i="35"/>
  <c r="W32" i="35" s="1"/>
  <c r="V33" i="35"/>
  <c r="V34" i="35"/>
  <c r="R28" i="40"/>
  <c r="S28" i="40"/>
  <c r="V28" i="40"/>
  <c r="W28" i="40"/>
  <c r="V27" i="40"/>
  <c r="R27" i="40"/>
  <c r="S27" i="40" s="1"/>
  <c r="W27" i="40" s="1"/>
  <c r="V15" i="40"/>
  <c r="V16" i="40"/>
  <c r="V17" i="40"/>
  <c r="V18" i="40"/>
  <c r="V19" i="40"/>
  <c r="V20" i="40"/>
  <c r="V21" i="40"/>
  <c r="V22" i="40"/>
  <c r="V23" i="40"/>
  <c r="V24" i="40"/>
  <c r="V25" i="40"/>
  <c r="V26" i="40"/>
  <c r="R15" i="40"/>
  <c r="S15" i="40" s="1"/>
  <c r="W15" i="40" s="1"/>
  <c r="R16" i="40"/>
  <c r="S16" i="40" s="1"/>
  <c r="R17" i="40"/>
  <c r="S17" i="40" s="1"/>
  <c r="R18" i="40"/>
  <c r="S18" i="40" s="1"/>
  <c r="R19" i="40"/>
  <c r="S19" i="40" s="1"/>
  <c r="R20" i="40"/>
  <c r="S20" i="40" s="1"/>
  <c r="R21" i="40"/>
  <c r="S21" i="40" s="1"/>
  <c r="R22" i="40"/>
  <c r="S22" i="40" s="1"/>
  <c r="R23" i="40"/>
  <c r="S23" i="40" s="1"/>
  <c r="R24" i="40"/>
  <c r="S24" i="40" s="1"/>
  <c r="R25" i="40"/>
  <c r="S25" i="40" s="1"/>
  <c r="R26" i="40"/>
  <c r="S26" i="40" s="1"/>
  <c r="R11" i="40"/>
  <c r="S11" i="40" s="1"/>
  <c r="R24" i="39"/>
  <c r="S24" i="39"/>
  <c r="W24" i="39" s="1"/>
  <c r="V24" i="39"/>
  <c r="R23" i="39"/>
  <c r="S23" i="39" s="1"/>
  <c r="V23" i="39"/>
  <c r="R22" i="39"/>
  <c r="S22" i="39" s="1"/>
  <c r="V22" i="39"/>
  <c r="R21" i="39"/>
  <c r="S21" i="39" s="1"/>
  <c r="V21" i="39"/>
  <c r="R20" i="39"/>
  <c r="S20" i="39" s="1"/>
  <c r="W20" i="39" s="1"/>
  <c r="V20" i="39"/>
  <c r="R19" i="39"/>
  <c r="S19" i="39" s="1"/>
  <c r="V19" i="39"/>
  <c r="R18" i="39"/>
  <c r="S18" i="39" s="1"/>
  <c r="V18" i="39"/>
  <c r="R17" i="39"/>
  <c r="S17" i="39" s="1"/>
  <c r="V17" i="39"/>
  <c r="R16" i="39"/>
  <c r="S16" i="39" s="1"/>
  <c r="V16" i="39"/>
  <c r="R15" i="39"/>
  <c r="S15" i="39" s="1"/>
  <c r="V15" i="39"/>
  <c r="V24" i="38"/>
  <c r="R24" i="38"/>
  <c r="S24" i="38" s="1"/>
  <c r="W24" i="38" s="1"/>
  <c r="V15" i="38"/>
  <c r="V16" i="38"/>
  <c r="V17" i="38"/>
  <c r="V18" i="38"/>
  <c r="V19" i="38"/>
  <c r="V20" i="38"/>
  <c r="V21" i="38"/>
  <c r="V22" i="38"/>
  <c r="V23" i="38"/>
  <c r="V25" i="38"/>
  <c r="S20" i="38"/>
  <c r="W20" i="38" s="1"/>
  <c r="S25" i="38"/>
  <c r="R15" i="38"/>
  <c r="S15" i="38" s="1"/>
  <c r="W15" i="38" s="1"/>
  <c r="R16" i="38"/>
  <c r="S16" i="38" s="1"/>
  <c r="W16" i="38" s="1"/>
  <c r="R17" i="38"/>
  <c r="S17" i="38" s="1"/>
  <c r="W17" i="38" s="1"/>
  <c r="R18" i="38"/>
  <c r="S18" i="38" s="1"/>
  <c r="W18" i="38" s="1"/>
  <c r="R19" i="38"/>
  <c r="S19" i="38" s="1"/>
  <c r="W19" i="38" s="1"/>
  <c r="R20" i="38"/>
  <c r="R21" i="38"/>
  <c r="S21" i="38" s="1"/>
  <c r="W21" i="38" s="1"/>
  <c r="R22" i="38"/>
  <c r="S22" i="38" s="1"/>
  <c r="W22" i="38" s="1"/>
  <c r="R23" i="38"/>
  <c r="S23" i="38" s="1"/>
  <c r="W23" i="38" s="1"/>
  <c r="W20" i="31"/>
  <c r="W21" i="31"/>
  <c r="W22" i="31"/>
  <c r="W23" i="31"/>
  <c r="W24" i="31"/>
  <c r="V15" i="31"/>
  <c r="V16" i="31"/>
  <c r="V17" i="31"/>
  <c r="V18" i="31"/>
  <c r="V19" i="31"/>
  <c r="V20" i="31"/>
  <c r="S15" i="31"/>
  <c r="W15" i="31" s="1"/>
  <c r="S16" i="31"/>
  <c r="W16" i="31" s="1"/>
  <c r="S17" i="31"/>
  <c r="W17" i="31" s="1"/>
  <c r="S18" i="31"/>
  <c r="W18" i="31" s="1"/>
  <c r="S19" i="31"/>
  <c r="W19" i="31" s="1"/>
  <c r="S20" i="31"/>
  <c r="S21" i="31"/>
  <c r="S22" i="31"/>
  <c r="S23" i="31"/>
  <c r="S24" i="31"/>
  <c r="R15" i="31"/>
  <c r="R16" i="31"/>
  <c r="R17" i="31"/>
  <c r="R18" i="31"/>
  <c r="R19" i="31"/>
  <c r="R20" i="31"/>
  <c r="R21" i="31"/>
  <c r="R22" i="31"/>
  <c r="R23" i="31"/>
  <c r="R24" i="31"/>
  <c r="W12" i="30"/>
  <c r="V15" i="29"/>
  <c r="V16" i="29"/>
  <c r="V17" i="29"/>
  <c r="V18" i="29"/>
  <c r="V19" i="29"/>
  <c r="V20" i="29"/>
  <c r="V21" i="29"/>
  <c r="V22" i="29"/>
  <c r="V23" i="29"/>
  <c r="V24" i="29"/>
  <c r="V25" i="29"/>
  <c r="V26" i="29"/>
  <c r="V27" i="29"/>
  <c r="V28" i="29"/>
  <c r="V29" i="29"/>
  <c r="V30" i="29"/>
  <c r="V31" i="29"/>
  <c r="S28" i="29"/>
  <c r="W28" i="29" s="1"/>
  <c r="R15" i="29"/>
  <c r="S15" i="29" s="1"/>
  <c r="R16" i="29"/>
  <c r="S16" i="29" s="1"/>
  <c r="W16" i="29" s="1"/>
  <c r="R17" i="29"/>
  <c r="S17" i="29" s="1"/>
  <c r="W17" i="29" s="1"/>
  <c r="R18" i="29"/>
  <c r="S18" i="29" s="1"/>
  <c r="W18" i="29" s="1"/>
  <c r="R19" i="29"/>
  <c r="S19" i="29" s="1"/>
  <c r="R20" i="29"/>
  <c r="S20" i="29" s="1"/>
  <c r="R21" i="29"/>
  <c r="S21" i="29" s="1"/>
  <c r="W21" i="29" s="1"/>
  <c r="R22" i="29"/>
  <c r="S22" i="29" s="1"/>
  <c r="W22" i="29" s="1"/>
  <c r="R23" i="29"/>
  <c r="S23" i="29" s="1"/>
  <c r="R24" i="29"/>
  <c r="S24" i="29" s="1"/>
  <c r="R25" i="29"/>
  <c r="S25" i="29" s="1"/>
  <c r="W25" i="29" s="1"/>
  <c r="R26" i="29"/>
  <c r="S26" i="29" s="1"/>
  <c r="W26" i="29" s="1"/>
  <c r="R27" i="29"/>
  <c r="S27" i="29" s="1"/>
  <c r="W27" i="29" s="1"/>
  <c r="R28" i="29"/>
  <c r="R29" i="29"/>
  <c r="S29" i="29" s="1"/>
  <c r="W29" i="29" s="1"/>
  <c r="R30" i="29"/>
  <c r="S30" i="29" s="1"/>
  <c r="W30" i="29" s="1"/>
  <c r="R31" i="29"/>
  <c r="S31" i="29" s="1"/>
  <c r="W31" i="29" s="1"/>
  <c r="R18" i="28"/>
  <c r="S18" i="28" s="1"/>
  <c r="W18" i="28" s="1"/>
  <c r="V18" i="28"/>
  <c r="V15" i="28"/>
  <c r="V16" i="28"/>
  <c r="V17" i="28"/>
  <c r="S17" i="28"/>
  <c r="W17" i="28" s="1"/>
  <c r="R15" i="28"/>
  <c r="S15" i="28" s="1"/>
  <c r="W15" i="28" s="1"/>
  <c r="R16" i="28"/>
  <c r="S16" i="28" s="1"/>
  <c r="W16" i="28" s="1"/>
  <c r="R17" i="28"/>
  <c r="Q33" i="28"/>
  <c r="C8" i="36" s="1"/>
  <c r="R15" i="27"/>
  <c r="S15" i="27" s="1"/>
  <c r="W15" i="27" s="1"/>
  <c r="V15" i="27"/>
  <c r="Q29" i="40"/>
  <c r="C14" i="36" s="1"/>
  <c r="V14" i="40"/>
  <c r="R14" i="40"/>
  <c r="S14" i="40" s="1"/>
  <c r="V13" i="40"/>
  <c r="R13" i="40"/>
  <c r="S13" i="40" s="1"/>
  <c r="V12" i="40"/>
  <c r="R12" i="40"/>
  <c r="S12" i="40" s="1"/>
  <c r="V11" i="40"/>
  <c r="V10" i="40"/>
  <c r="R10" i="40"/>
  <c r="S10" i="40" s="1"/>
  <c r="V9" i="40"/>
  <c r="R9" i="40"/>
  <c r="S9" i="40" s="1"/>
  <c r="V8" i="40"/>
  <c r="R8" i="40"/>
  <c r="S8" i="40" s="1"/>
  <c r="Q31" i="39"/>
  <c r="C13" i="36" s="1"/>
  <c r="V14" i="39"/>
  <c r="R14" i="39"/>
  <c r="S14" i="39" s="1"/>
  <c r="V13" i="39"/>
  <c r="R13" i="39"/>
  <c r="S13" i="39" s="1"/>
  <c r="V12" i="39"/>
  <c r="R12" i="39"/>
  <c r="S12" i="39" s="1"/>
  <c r="V11" i="39"/>
  <c r="R11" i="39"/>
  <c r="S11" i="39" s="1"/>
  <c r="V10" i="39"/>
  <c r="R10" i="39"/>
  <c r="S10" i="39" s="1"/>
  <c r="V9" i="39"/>
  <c r="R9" i="39"/>
  <c r="S9" i="39" s="1"/>
  <c r="V8" i="39"/>
  <c r="R8" i="39"/>
  <c r="Q26" i="38"/>
  <c r="C12" i="36" s="1"/>
  <c r="V14" i="38"/>
  <c r="R14" i="38"/>
  <c r="S14" i="38" s="1"/>
  <c r="V13" i="38"/>
  <c r="R13" i="38"/>
  <c r="S13" i="38" s="1"/>
  <c r="V12" i="38"/>
  <c r="R12" i="38"/>
  <c r="S12" i="38" s="1"/>
  <c r="V11" i="38"/>
  <c r="R11" i="38"/>
  <c r="S11" i="38" s="1"/>
  <c r="V10" i="38"/>
  <c r="R10" i="38"/>
  <c r="S10" i="38" s="1"/>
  <c r="V9" i="38"/>
  <c r="R9" i="38"/>
  <c r="S9" i="38" s="1"/>
  <c r="V8" i="38"/>
  <c r="R8" i="38"/>
  <c r="Q25" i="31"/>
  <c r="C11" i="36" s="1"/>
  <c r="V14" i="31"/>
  <c r="R14" i="31"/>
  <c r="S14" i="31" s="1"/>
  <c r="V13" i="31"/>
  <c r="R13" i="31"/>
  <c r="S13" i="31" s="1"/>
  <c r="V12" i="31"/>
  <c r="R12" i="31"/>
  <c r="S12" i="31" s="1"/>
  <c r="V11" i="31"/>
  <c r="R11" i="31"/>
  <c r="S11" i="31" s="1"/>
  <c r="V10" i="31"/>
  <c r="R10" i="31"/>
  <c r="S10" i="31" s="1"/>
  <c r="V9" i="31"/>
  <c r="R9" i="31"/>
  <c r="S9" i="31" s="1"/>
  <c r="V8" i="31"/>
  <c r="R8" i="31"/>
  <c r="Q33" i="30"/>
  <c r="C10" i="36" s="1"/>
  <c r="V14" i="30"/>
  <c r="R14" i="30"/>
  <c r="S14" i="30" s="1"/>
  <c r="W14" i="30" s="1"/>
  <c r="V13" i="30"/>
  <c r="R13" i="30"/>
  <c r="S13" i="30" s="1"/>
  <c r="W13" i="30" s="1"/>
  <c r="V12" i="30"/>
  <c r="R12" i="30"/>
  <c r="S12" i="30" s="1"/>
  <c r="V11" i="30"/>
  <c r="R11" i="30"/>
  <c r="S11" i="30" s="1"/>
  <c r="W11" i="30" s="1"/>
  <c r="V10" i="30"/>
  <c r="R10" i="30"/>
  <c r="S10" i="30" s="1"/>
  <c r="V9" i="30"/>
  <c r="R9" i="30"/>
  <c r="S9" i="30" s="1"/>
  <c r="W9" i="30" s="1"/>
  <c r="V8" i="30"/>
  <c r="R8" i="30"/>
  <c r="Q32" i="29"/>
  <c r="V32" i="29" s="1"/>
  <c r="V14" i="29"/>
  <c r="R14" i="29"/>
  <c r="S14" i="29" s="1"/>
  <c r="W14" i="29" s="1"/>
  <c r="V13" i="29"/>
  <c r="R13" i="29"/>
  <c r="S13" i="29" s="1"/>
  <c r="V12" i="29"/>
  <c r="R12" i="29"/>
  <c r="S12" i="29" s="1"/>
  <c r="W12" i="29" s="1"/>
  <c r="V11" i="29"/>
  <c r="R11" i="29"/>
  <c r="S11" i="29" s="1"/>
  <c r="W11" i="29" s="1"/>
  <c r="V10" i="29"/>
  <c r="R10" i="29"/>
  <c r="S10" i="29" s="1"/>
  <c r="W10" i="29" s="1"/>
  <c r="V9" i="29"/>
  <c r="R9" i="29"/>
  <c r="S9" i="29" s="1"/>
  <c r="W9" i="29" s="1"/>
  <c r="V8" i="29"/>
  <c r="R8" i="29"/>
  <c r="S8" i="29" s="1"/>
  <c r="V14" i="28"/>
  <c r="R14" i="28"/>
  <c r="S14" i="28" s="1"/>
  <c r="V13" i="28"/>
  <c r="R13" i="28"/>
  <c r="S13" i="28" s="1"/>
  <c r="W13" i="28" s="1"/>
  <c r="V12" i="28"/>
  <c r="R12" i="28"/>
  <c r="S12" i="28" s="1"/>
  <c r="V11" i="28"/>
  <c r="R11" i="28"/>
  <c r="S11" i="28" s="1"/>
  <c r="W11" i="28" s="1"/>
  <c r="V10" i="28"/>
  <c r="R10" i="28"/>
  <c r="S10" i="28" s="1"/>
  <c r="V9" i="28"/>
  <c r="R9" i="28"/>
  <c r="S9" i="28" s="1"/>
  <c r="W9" i="28" s="1"/>
  <c r="V8" i="28"/>
  <c r="R8" i="28"/>
  <c r="Q33" i="27"/>
  <c r="C7" i="36" s="1"/>
  <c r="V14" i="27"/>
  <c r="R14" i="27"/>
  <c r="S14" i="27" s="1"/>
  <c r="W14" i="27" s="1"/>
  <c r="V13" i="27"/>
  <c r="S13" i="27"/>
  <c r="W13" i="27" s="1"/>
  <c r="R13" i="27"/>
  <c r="V12" i="27"/>
  <c r="R12" i="27"/>
  <c r="S12" i="27" s="1"/>
  <c r="W12" i="27" s="1"/>
  <c r="V11" i="27"/>
  <c r="R11" i="27"/>
  <c r="S11" i="27" s="1"/>
  <c r="V10" i="27"/>
  <c r="R10" i="27"/>
  <c r="S10" i="27" s="1"/>
  <c r="W10" i="27" s="1"/>
  <c r="V9" i="27"/>
  <c r="R9" i="27"/>
  <c r="S9" i="27" s="1"/>
  <c r="V8" i="27"/>
  <c r="R8" i="27"/>
  <c r="Q14" i="26"/>
  <c r="C6" i="36" s="1"/>
  <c r="V13" i="26"/>
  <c r="R13" i="26"/>
  <c r="S13" i="26" s="1"/>
  <c r="V12" i="26"/>
  <c r="R12" i="26"/>
  <c r="S12" i="26" s="1"/>
  <c r="V11" i="26"/>
  <c r="R11" i="26"/>
  <c r="S11" i="26" s="1"/>
  <c r="V10" i="26"/>
  <c r="R10" i="26"/>
  <c r="S10" i="26" s="1"/>
  <c r="V9" i="26"/>
  <c r="R9" i="26"/>
  <c r="S9" i="26" s="1"/>
  <c r="V8" i="26"/>
  <c r="R8" i="26"/>
  <c r="V23" i="24"/>
  <c r="R23" i="24"/>
  <c r="S23" i="24" s="1"/>
  <c r="W23" i="24" s="1"/>
  <c r="R14" i="25"/>
  <c r="S14" i="25" s="1"/>
  <c r="V14" i="25"/>
  <c r="R22" i="24"/>
  <c r="S22" i="24" s="1"/>
  <c r="V22" i="24"/>
  <c r="R21" i="24"/>
  <c r="S21" i="24" s="1"/>
  <c r="V21" i="24"/>
  <c r="R20" i="24"/>
  <c r="S20" i="24" s="1"/>
  <c r="V20" i="24"/>
  <c r="R19" i="24"/>
  <c r="S19" i="24" s="1"/>
  <c r="V19" i="24"/>
  <c r="B15" i="36"/>
  <c r="F15" i="36"/>
  <c r="W15" i="29" l="1"/>
  <c r="W9" i="27"/>
  <c r="W11" i="27"/>
  <c r="W34" i="35"/>
  <c r="S34" i="35"/>
  <c r="R34" i="35"/>
  <c r="W12" i="40"/>
  <c r="W14" i="40"/>
  <c r="W22" i="40"/>
  <c r="W26" i="40"/>
  <c r="W18" i="40"/>
  <c r="W8" i="40"/>
  <c r="W10" i="40"/>
  <c r="W25" i="40"/>
  <c r="W24" i="40"/>
  <c r="W20" i="40"/>
  <c r="W16" i="40"/>
  <c r="W17" i="40"/>
  <c r="W21" i="40"/>
  <c r="W13" i="40"/>
  <c r="W23" i="40"/>
  <c r="W19" i="40"/>
  <c r="W11" i="40"/>
  <c r="V29" i="40"/>
  <c r="E14" i="36" s="1"/>
  <c r="W9" i="40"/>
  <c r="R29" i="40"/>
  <c r="W17" i="39"/>
  <c r="W23" i="39"/>
  <c r="W16" i="39"/>
  <c r="W18" i="39"/>
  <c r="W15" i="39"/>
  <c r="W19" i="39"/>
  <c r="W10" i="39"/>
  <c r="W12" i="39"/>
  <c r="W14" i="39"/>
  <c r="W22" i="39"/>
  <c r="W9" i="39"/>
  <c r="W11" i="39"/>
  <c r="W13" i="39"/>
  <c r="W21" i="39"/>
  <c r="V31" i="39"/>
  <c r="E13" i="36" s="1"/>
  <c r="R31" i="39"/>
  <c r="W25" i="38"/>
  <c r="W13" i="38"/>
  <c r="W11" i="38"/>
  <c r="W9" i="38"/>
  <c r="V26" i="38"/>
  <c r="E12" i="36" s="1"/>
  <c r="R26" i="38"/>
  <c r="W10" i="38"/>
  <c r="W12" i="38"/>
  <c r="W14" i="38"/>
  <c r="W10" i="31"/>
  <c r="W12" i="31"/>
  <c r="W14" i="31"/>
  <c r="V25" i="31"/>
  <c r="E11" i="36" s="1"/>
  <c r="W9" i="31"/>
  <c r="W11" i="31"/>
  <c r="W13" i="31"/>
  <c r="R25" i="31"/>
  <c r="V33" i="30"/>
  <c r="E10" i="36" s="1"/>
  <c r="W10" i="30"/>
  <c r="R33" i="30"/>
  <c r="W24" i="29"/>
  <c r="W20" i="29"/>
  <c r="W23" i="29"/>
  <c r="W19" i="29"/>
  <c r="W13" i="29"/>
  <c r="E9" i="36"/>
  <c r="C9" i="36"/>
  <c r="W8" i="29"/>
  <c r="R32" i="29"/>
  <c r="W12" i="28"/>
  <c r="W14" i="28"/>
  <c r="V33" i="28"/>
  <c r="E8" i="36" s="1"/>
  <c r="W10" i="28"/>
  <c r="R33" i="28"/>
  <c r="R33" i="27"/>
  <c r="V33" i="27"/>
  <c r="E7" i="36" s="1"/>
  <c r="S8" i="27"/>
  <c r="W8" i="27" s="1"/>
  <c r="V14" i="26"/>
  <c r="E6" i="36" s="1"/>
  <c r="W9" i="26"/>
  <c r="W11" i="26"/>
  <c r="W13" i="26"/>
  <c r="S29" i="40"/>
  <c r="D14" i="36" s="1"/>
  <c r="S8" i="39"/>
  <c r="S8" i="38"/>
  <c r="S8" i="31"/>
  <c r="S8" i="30"/>
  <c r="S32" i="29"/>
  <c r="S8" i="28"/>
  <c r="R14" i="26"/>
  <c r="W10" i="26"/>
  <c r="W12" i="26"/>
  <c r="S8" i="26"/>
  <c r="W14" i="25"/>
  <c r="W22" i="24"/>
  <c r="W19" i="24"/>
  <c r="W21" i="24"/>
  <c r="W20" i="24"/>
  <c r="R8" i="25"/>
  <c r="S8" i="25" s="1"/>
  <c r="V8" i="25"/>
  <c r="R9" i="25"/>
  <c r="S9" i="25" s="1"/>
  <c r="V9" i="25"/>
  <c r="R10" i="25"/>
  <c r="S10" i="25" s="1"/>
  <c r="V10" i="25"/>
  <c r="R11" i="25"/>
  <c r="S11" i="25" s="1"/>
  <c r="V11" i="25"/>
  <c r="R12" i="25"/>
  <c r="S12" i="25" s="1"/>
  <c r="V12" i="25"/>
  <c r="R13" i="25"/>
  <c r="S13" i="25" s="1"/>
  <c r="V13" i="25"/>
  <c r="Q33" i="25"/>
  <c r="C5" i="36" s="1"/>
  <c r="R17" i="24"/>
  <c r="S17" i="24" s="1"/>
  <c r="V17" i="24"/>
  <c r="R18" i="24"/>
  <c r="S18" i="24" s="1"/>
  <c r="V18" i="24"/>
  <c r="Q35" i="24"/>
  <c r="Q40" i="24" s="1"/>
  <c r="C4" i="37" s="1"/>
  <c r="V34" i="24"/>
  <c r="R34" i="24"/>
  <c r="S34" i="24" s="1"/>
  <c r="V33" i="24"/>
  <c r="R33" i="24"/>
  <c r="S33" i="24" s="1"/>
  <c r="V16" i="24"/>
  <c r="R16" i="24"/>
  <c r="S16" i="24" s="1"/>
  <c r="V15" i="24"/>
  <c r="R15" i="24"/>
  <c r="S15" i="24" s="1"/>
  <c r="V14" i="24"/>
  <c r="R14" i="24"/>
  <c r="S14" i="24" s="1"/>
  <c r="V13" i="24"/>
  <c r="R13" i="24"/>
  <c r="S13" i="24" s="1"/>
  <c r="V12" i="24"/>
  <c r="R12" i="24"/>
  <c r="S12" i="24" s="1"/>
  <c r="V11" i="24"/>
  <c r="R11" i="24"/>
  <c r="S11" i="24" s="1"/>
  <c r="V10" i="24"/>
  <c r="R10" i="24"/>
  <c r="S10" i="24" s="1"/>
  <c r="V9" i="24"/>
  <c r="R9" i="24"/>
  <c r="S9" i="24" s="1"/>
  <c r="V8" i="24"/>
  <c r="R8" i="24"/>
  <c r="W33" i="27" l="1"/>
  <c r="C15" i="36"/>
  <c r="W29" i="40"/>
  <c r="G14" i="36" s="1"/>
  <c r="D9" i="36"/>
  <c r="W32" i="29"/>
  <c r="G9" i="36" s="1"/>
  <c r="G7" i="36"/>
  <c r="C7" i="37"/>
  <c r="S33" i="27"/>
  <c r="D7" i="36" s="1"/>
  <c r="S31" i="39"/>
  <c r="D13" i="36" s="1"/>
  <c r="W8" i="39"/>
  <c r="W31" i="39" s="1"/>
  <c r="W8" i="38"/>
  <c r="W26" i="38" s="1"/>
  <c r="S26" i="38"/>
  <c r="D12" i="36" s="1"/>
  <c r="S25" i="31"/>
  <c r="D11" i="36" s="1"/>
  <c r="W8" i="31"/>
  <c r="W25" i="31" s="1"/>
  <c r="W8" i="30"/>
  <c r="W33" i="30" s="1"/>
  <c r="S33" i="30"/>
  <c r="D10" i="36" s="1"/>
  <c r="S33" i="28"/>
  <c r="D8" i="36" s="1"/>
  <c r="W8" i="28"/>
  <c r="W33" i="28" s="1"/>
  <c r="W8" i="26"/>
  <c r="W14" i="26" s="1"/>
  <c r="S14" i="26"/>
  <c r="D6" i="36" s="1"/>
  <c r="C4" i="36"/>
  <c r="W11" i="25"/>
  <c r="W13" i="25"/>
  <c r="W17" i="24"/>
  <c r="W18" i="24"/>
  <c r="W10" i="25"/>
  <c r="S33" i="25"/>
  <c r="D5" i="36" s="1"/>
  <c r="R33" i="25"/>
  <c r="W9" i="25"/>
  <c r="V33" i="25"/>
  <c r="E5" i="36" s="1"/>
  <c r="W12" i="25"/>
  <c r="W8" i="25"/>
  <c r="V35" i="24"/>
  <c r="W9" i="24"/>
  <c r="W11" i="24"/>
  <c r="W13" i="24"/>
  <c r="W15" i="24"/>
  <c r="W34" i="24"/>
  <c r="W10" i="24"/>
  <c r="W12" i="24"/>
  <c r="W14" i="24"/>
  <c r="W16" i="24"/>
  <c r="W33" i="24"/>
  <c r="W8" i="24"/>
  <c r="R35" i="24"/>
  <c r="S8" i="24"/>
  <c r="C14" i="37" l="1"/>
  <c r="G13" i="36"/>
  <c r="C13" i="37"/>
  <c r="C12" i="37"/>
  <c r="G12" i="36"/>
  <c r="C11" i="37"/>
  <c r="G11" i="36"/>
  <c r="G10" i="36"/>
  <c r="C10" i="37"/>
  <c r="C9" i="37"/>
  <c r="G8" i="36"/>
  <c r="C8" i="37"/>
  <c r="G6" i="36"/>
  <c r="C6" i="37"/>
  <c r="W33" i="25"/>
  <c r="S35" i="24"/>
  <c r="W35" i="24"/>
  <c r="C5" i="37" l="1"/>
  <c r="G5" i="36"/>
  <c r="E3" i="36"/>
  <c r="C3" i="37" l="1"/>
  <c r="C15" i="37" s="1"/>
  <c r="G3" i="36"/>
  <c r="V36" i="24"/>
  <c r="V37" i="24"/>
  <c r="V38" i="24"/>
  <c r="V39" i="24"/>
  <c r="V40" i="24" l="1"/>
  <c r="E4" i="36" s="1"/>
  <c r="R36" i="24"/>
  <c r="R37" i="24"/>
  <c r="S37" i="24" s="1"/>
  <c r="W37" i="24" s="1"/>
  <c r="R38" i="24"/>
  <c r="S38" i="24" s="1"/>
  <c r="W38" i="24" s="1"/>
  <c r="R39" i="24"/>
  <c r="S39" i="24" s="1"/>
  <c r="W39" i="24" s="1"/>
  <c r="E15" i="36" l="1"/>
  <c r="S36" i="24"/>
  <c r="R40" i="24"/>
  <c r="D4" i="36" s="1"/>
  <c r="D15" i="36" s="1"/>
  <c r="W36" i="24" l="1"/>
  <c r="W40" i="24" s="1"/>
  <c r="G4" i="36" s="1"/>
  <c r="S40" i="24"/>
  <c r="G15" i="36" l="1"/>
</calcChain>
</file>

<file path=xl/sharedStrings.xml><?xml version="1.0" encoding="utf-8"?>
<sst xmlns="http://schemas.openxmlformats.org/spreadsheetml/2006/main" count="1230" uniqueCount="463">
  <si>
    <t>Toplam Miktar
( TL )</t>
  </si>
  <si>
    <t>Büro Kayıt No:</t>
  </si>
  <si>
    <t>Protokol 
 No:</t>
  </si>
  <si>
    <t>YAPILACAK İŞ</t>
  </si>
  <si>
    <t>AÇIKLAMA</t>
  </si>
  <si>
    <t>NUMUNEYİ  GÖNDEREN</t>
  </si>
  <si>
    <t>TOPLAM</t>
  </si>
  <si>
    <t>DEKONT NO:</t>
  </si>
  <si>
    <t>DEKONT 
Tarihi</t>
  </si>
  <si>
    <t xml:space="preserve">Sıra No:
</t>
  </si>
  <si>
    <t>PROTOKOL LİSTESİ</t>
  </si>
  <si>
    <t>Hazırlayan</t>
  </si>
  <si>
    <t>Adı-Soyadı</t>
  </si>
  <si>
    <t>Ünvanı</t>
  </si>
  <si>
    <t>İmza</t>
  </si>
  <si>
    <t>Bölge No</t>
  </si>
  <si>
    <t>PROTOKOL BEDELİNİ  YATIRAN  FİRMA</t>
  </si>
  <si>
    <t>Protokol İmzalanma Tarihi</t>
  </si>
  <si>
    <t xml:space="preserve"> Damga Vergisi
</t>
  </si>
  <si>
    <t xml:space="preserve"> H</t>
  </si>
  <si>
    <t>I</t>
  </si>
  <si>
    <t>J</t>
  </si>
  <si>
    <t>Deney
1.Keşif Özeti
(TL)</t>
  </si>
  <si>
    <t>K</t>
  </si>
  <si>
    <t>İ</t>
  </si>
  <si>
    <t>H+K+(I)+(İ)</t>
  </si>
  <si>
    <t>KDV' li
1.Keşif Özeti 
(TL)</t>
  </si>
  <si>
    <t>KDV' li 2.Keşif Tutarı
( TL )</t>
  </si>
  <si>
    <t>NOT 1: H, I, İ, G, J  Keşif Özetinde Verilen Miktarlar Olup Keşif Özetinden Alınacaktır.</t>
  </si>
  <si>
    <t>NOT 2: Toplam  Miktar hesaplanırken  ( I ) veya ( İ )'den Biri Alınacak.</t>
  </si>
  <si>
    <t>-</t>
  </si>
  <si>
    <t>TÜRKAK  Payı 
( G* %06 )</t>
  </si>
  <si>
    <t>Başmühendis</t>
  </si>
  <si>
    <t>9</t>
  </si>
  <si>
    <t>İbrahim AKINCI</t>
  </si>
  <si>
    <t>SİBEL GÜMÜŞ</t>
  </si>
  <si>
    <t>Ay</t>
  </si>
  <si>
    <t>Protokol Adedi</t>
  </si>
  <si>
    <t>Protokollü Hizmet Bedeli</t>
  </si>
  <si>
    <t>KDV</t>
  </si>
  <si>
    <t>Damga Vergisi</t>
  </si>
  <si>
    <t>Türkak Payı</t>
  </si>
  <si>
    <t>Genel Toplam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</si>
  <si>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</si>
  <si>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</si>
  <si>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</si>
  <si>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</si>
  <si>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</si>
  <si>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</si>
  <si>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</si>
  <si>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</si>
  <si>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</si>
  <si>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</si>
  <si>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</si>
  <si>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</si>
  <si>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Toplamlar</t>
  </si>
  <si>
    <t>01.01-31.12.2021 TARİHLERİ ARASINDA 
KARAYOLLARI 9. BÖLGE MÜDÜRLÜĞÜ
ARAŞTIRMA VE GELİŞTİRME BAŞMÜHENDİSLİĞİ LAB.YAPILAN DENEY
PROTOKOL LİSTESİ</t>
  </si>
  <si>
    <t>AY</t>
  </si>
  <si>
    <t>PROTOKOL SAYISI</t>
  </si>
  <si>
    <t>PARA MİKTARI
(TL)</t>
  </si>
  <si>
    <t>NOT</t>
  </si>
  <si>
    <t>OCAK</t>
  </si>
  <si>
    <t>ŞUBAT</t>
  </si>
  <si>
    <t>MART</t>
  </si>
  <si>
    <t>NİSAN</t>
  </si>
  <si>
    <t>MAYIS</t>
  </si>
  <si>
    <t>HAZİRAN</t>
  </si>
  <si>
    <t>TEMMUZ</t>
  </si>
  <si>
    <t>AĞUSTOS</t>
  </si>
  <si>
    <t>EYLÜL</t>
  </si>
  <si>
    <t>EKİM</t>
  </si>
  <si>
    <t>KASIM</t>
  </si>
  <si>
    <t>ARALIK</t>
  </si>
  <si>
    <t>Sibel GÜMÜŞ</t>
  </si>
  <si>
    <t xml:space="preserve"> </t>
  </si>
  <si>
    <t xml:space="preserve"> KDV 
 ( H * %20 )
(TL)</t>
  </si>
  <si>
    <t>KUVEYTÜRK</t>
  </si>
  <si>
    <t>TOPRAK LAB.DENEYLERİ</t>
  </si>
  <si>
    <t>PROFİLOMETRE</t>
  </si>
  <si>
    <t>HALKBANK</t>
  </si>
  <si>
    <t>ZİVER İNŞAAT</t>
  </si>
  <si>
    <t>ZİRAAT BANKASI</t>
  </si>
  <si>
    <t>BİTÜM LAB.DENEYLERİ</t>
  </si>
  <si>
    <t>BETON LAB.DENEYLERİ</t>
  </si>
  <si>
    <t>DENİZBANK</t>
  </si>
  <si>
    <t>Kontrol Eden</t>
  </si>
  <si>
    <t>Onaylayan</t>
  </si>
  <si>
    <t>Büro ve Kayıt Memuru</t>
  </si>
  <si>
    <t>Ar-Ge Başmühendisi</t>
  </si>
  <si>
    <t>AKBANK</t>
  </si>
  <si>
    <t>FİNANSBANK</t>
  </si>
  <si>
    <t>MET GRUP İNŞAAT</t>
  </si>
  <si>
    <t>CEYLAN İNŞAAT</t>
  </si>
  <si>
    <t>Karayolları 9. Bölge Müdürlüğü
2025 YILI OCAK AYI 
AR-GE Dairesi Bşk. Hizmetleri  Protokollu  İşler Listesi</t>
  </si>
  <si>
    <t>Karayolları 9. Bölge Müdürlüğü
2025 YILI ŞUBAT AYI 
AR-GE Dairesi Bşk. Hizmetleri  Protokollu  İşler Listesi</t>
  </si>
  <si>
    <t xml:space="preserve">
Sıra No:
</t>
  </si>
  <si>
    <t>GARANTİ BANKASI</t>
  </si>
  <si>
    <t>ESKİKALE+ARFEM İŞ ORTK.</t>
  </si>
  <si>
    <t>YEŞİLYOL İNŞAAT</t>
  </si>
  <si>
    <r>
      <t xml:space="preserve">Karayolları 9. Bölge Müdürlüğü
</t>
    </r>
    <r>
      <rPr>
        <sz val="10"/>
        <color indexed="8"/>
        <rFont val="Calibri"/>
        <family val="2"/>
        <charset val="162"/>
      </rPr>
      <t>(Araştırma ve Geliştirme Başmühendisliği)</t>
    </r>
    <r>
      <rPr>
        <b/>
        <sz val="10"/>
        <color indexed="8"/>
        <rFont val="Calibri"/>
        <family val="2"/>
        <charset val="162"/>
      </rPr>
      <t xml:space="preserve">
01 Ocak 2025-31 Aralık 2025 Yılı Deney Ücretleri </t>
    </r>
  </si>
  <si>
    <t>Karayolları 9. Bölge Müdürlüğü
2025 YILI MART AYI 
AR-GE Dairesi Bşk. Hizmetleri  Protokollu  İşler Listesi</t>
  </si>
  <si>
    <t>Karayolları 9. Bölge Müdürlüğü
2025 YILI NİSAN AYI 
AR-GE Dairesi Bşk. Hizmetleri  Protokollu  İşler Listesi</t>
  </si>
  <si>
    <t>VAKIFBANK</t>
  </si>
  <si>
    <t>GARANTİBANK</t>
  </si>
  <si>
    <t>Atakan ERSOY</t>
  </si>
  <si>
    <t>Karayolları 9. Bölge Müdürlüğü
2025 YILI MAYIS AYI 
AR-GE Dairesi Bşk. Hizmetleri  Protokollu  İşler Listesi</t>
  </si>
  <si>
    <t>Karayolları 9. Bölge Müdürlüğü
2025 YILI HAZİRAN AYI 
AR-GE Dairesi Bşk. Hizmetleri  Protokollu  İşler Listesi</t>
  </si>
  <si>
    <t>Karayolları 9. Bölge Müdürlüğü
2025 YILI TEMMUZ AYI 
AR-GE Dairesi Bşk. Hizmetleri  Protokollu  İşler Listesi</t>
  </si>
  <si>
    <t>TEB</t>
  </si>
  <si>
    <t>YAPIKREDİ</t>
  </si>
  <si>
    <t>78</t>
  </si>
  <si>
    <t>2025/78</t>
  </si>
  <si>
    <t>09.07.2025</t>
  </si>
  <si>
    <t>SİNAN ÖZKAN</t>
  </si>
  <si>
    <t>29.07.2025</t>
  </si>
  <si>
    <t>21.07.2025</t>
  </si>
  <si>
    <t>08.08.2025</t>
  </si>
  <si>
    <t>07.08.2025</t>
  </si>
  <si>
    <t>2025/79</t>
  </si>
  <si>
    <t>79</t>
  </si>
  <si>
    <t>2025/80</t>
  </si>
  <si>
    <t>2025/81</t>
  </si>
  <si>
    <t>2025/82</t>
  </si>
  <si>
    <t>2025/83</t>
  </si>
  <si>
    <t>2025/84</t>
  </si>
  <si>
    <t>80</t>
  </si>
  <si>
    <t>81</t>
  </si>
  <si>
    <t>82</t>
  </si>
  <si>
    <t>83</t>
  </si>
  <si>
    <t>84</t>
  </si>
  <si>
    <t>18.08.2025</t>
  </si>
  <si>
    <t>1985260740</t>
  </si>
  <si>
    <t>ORAK YAPI</t>
  </si>
  <si>
    <t>PROFİLMETRE</t>
  </si>
  <si>
    <t>1420118</t>
  </si>
  <si>
    <t>HELTAŞ İNŞAAT</t>
  </si>
  <si>
    <t>14.08.2025</t>
  </si>
  <si>
    <t>F02674</t>
  </si>
  <si>
    <t>MİLLİ SAVUNMA BAKANLIĞI (T.C.B) İNŞAAT</t>
  </si>
  <si>
    <t>2056586</t>
  </si>
  <si>
    <t>CİZRE BELEDİYESİ</t>
  </si>
  <si>
    <t>1960688967</t>
  </si>
  <si>
    <t>TPAO ŞIRNAK B.M</t>
  </si>
  <si>
    <t>TOPRAK-BİTÜM LAB.DENEYLERİ</t>
  </si>
  <si>
    <t>1981914</t>
  </si>
  <si>
    <t>22.08.2025</t>
  </si>
  <si>
    <t>3720972</t>
  </si>
  <si>
    <t>Karayolları 9. Bölge Müdürlüğü
2025 YILI AĞUSTOS AYI 
AR-GE Dairesi Bşk. Hizmetleri  Protokollu  İşler Listesi</t>
  </si>
  <si>
    <t>Karayolları 9. Bölge Müdürlüğü
2025 YILI EYLÜL AYI 
AR-GE Dairesi Bşk. Hizmetleri  Protokollu  İşler Listesi</t>
  </si>
  <si>
    <t>2025/85</t>
  </si>
  <si>
    <t>2025/86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</si>
  <si>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</si>
  <si>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</si>
  <si>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</si>
  <si>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</si>
  <si>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</si>
  <si>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</si>
  <si>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</si>
  <si>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</si>
  <si>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</si>
  <si>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</si>
  <si>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</si>
  <si>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</si>
  <si>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2025/88</t>
  </si>
  <si>
    <t>2025/87</t>
  </si>
  <si>
    <t>2025/89</t>
  </si>
  <si>
    <t>2025/90</t>
  </si>
  <si>
    <t>2025/91</t>
  </si>
  <si>
    <t>2025/92</t>
  </si>
  <si>
    <t>2025/93</t>
  </si>
  <si>
    <t>2025/94</t>
  </si>
  <si>
    <t>2025/95</t>
  </si>
  <si>
    <t>2025/96</t>
  </si>
  <si>
    <t>ELH-EYLÜL-FENİX İŞ ORT.</t>
  </si>
  <si>
    <t>OKYANUS BAHADIR ADİ ORTK.</t>
  </si>
  <si>
    <t>02.09.2025</t>
  </si>
  <si>
    <t>05.09.2025</t>
  </si>
  <si>
    <t>F01345</t>
  </si>
  <si>
    <t>01.09.2025</t>
  </si>
  <si>
    <t>43635023</t>
  </si>
  <si>
    <t>6761336</t>
  </si>
  <si>
    <t>SİİRT BETON SAN.</t>
  </si>
  <si>
    <t>09.09.2025</t>
  </si>
  <si>
    <t>7546576</t>
  </si>
  <si>
    <t>ÖRESAN İNŞAAT</t>
  </si>
  <si>
    <t>08.09.2025</t>
  </si>
  <si>
    <t>7414831</t>
  </si>
  <si>
    <t>AB İŞ MAK.İNŞ.+İMSA İNŞ.İŞ  ORTK.</t>
  </si>
  <si>
    <t>03.09.2025</t>
  </si>
  <si>
    <t>F00642</t>
  </si>
  <si>
    <t>MARİSTAN İNŞAAT</t>
  </si>
  <si>
    <t>TOPRSK-BİTÜM LAB.DENEYLERİ</t>
  </si>
  <si>
    <t>16.09.2025</t>
  </si>
  <si>
    <t>9999941481</t>
  </si>
  <si>
    <t>VAKIF KATILIM</t>
  </si>
  <si>
    <t xml:space="preserve">İŞÇİM MAK.İNŞ. </t>
  </si>
  <si>
    <t>19.09.2025</t>
  </si>
  <si>
    <t>4919305382
67402240</t>
  </si>
  <si>
    <t>NURŞAH İNŞ.</t>
  </si>
  <si>
    <t>25.09.2025</t>
  </si>
  <si>
    <t>F00771</t>
  </si>
  <si>
    <t>F00766</t>
  </si>
  <si>
    <t>9999977673</t>
  </si>
  <si>
    <t>GÖNÜÇ İNŞ+AYDİŞ MAD. İŞ ORTK.</t>
  </si>
  <si>
    <t>30.09.2025</t>
  </si>
  <si>
    <t>01.10.2025</t>
  </si>
  <si>
    <t>0318262</t>
  </si>
  <si>
    <t>Karayolları 9. Bölge Müdürlüğü
2025 YILI EKİM AYI 
AR-GE Dairesi Bşk. Hizmetleri  Protokollu  İşler Listesi</t>
  </si>
  <si>
    <t>205/97</t>
  </si>
  <si>
    <t>2025/98</t>
  </si>
  <si>
    <t>2025/99</t>
  </si>
  <si>
    <t>2025/100</t>
  </si>
  <si>
    <t>2025/101</t>
  </si>
  <si>
    <t>2025/102</t>
  </si>
  <si>
    <t>2025/103</t>
  </si>
  <si>
    <t>2025/104</t>
  </si>
  <si>
    <t>2025/105</t>
  </si>
  <si>
    <t>2025/106</t>
  </si>
  <si>
    <t>2025/111</t>
  </si>
  <si>
    <t>2025/110</t>
  </si>
  <si>
    <t>2025/112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</si>
  <si>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</si>
  <si>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</si>
  <si>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</si>
  <si>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</si>
  <si>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</si>
  <si>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</si>
  <si>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</si>
  <si>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</si>
  <si>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</si>
  <si>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</si>
  <si>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</si>
  <si>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</si>
  <si>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</si>
  <si>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</si>
  <si>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</si>
  <si>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</si>
  <si>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DEHA+DEMİR İŞ ORTK.</t>
  </si>
  <si>
    <t>06.10.2025</t>
  </si>
  <si>
    <t>F00884</t>
  </si>
  <si>
    <t>ESKİKALE+ARFEM İNŞ İŞ ORTK.</t>
  </si>
  <si>
    <t>02.10.2025</t>
  </si>
  <si>
    <t>6702030</t>
  </si>
  <si>
    <t>BARAN İNŞAAT</t>
  </si>
  <si>
    <t>9115702</t>
  </si>
  <si>
    <t>9115709</t>
  </si>
  <si>
    <t>SAY İNŞAAT</t>
  </si>
  <si>
    <t>03.10.2025</t>
  </si>
  <si>
    <t>08.10.2025</t>
  </si>
  <si>
    <t>17806885325</t>
  </si>
  <si>
    <t>09.10.2025</t>
  </si>
  <si>
    <t>7522828</t>
  </si>
  <si>
    <t>ZBE İNŞ (MARDİN BÜYÜKŞEHİR BELEDİYESİ)</t>
  </si>
  <si>
    <t>17.10.2025</t>
  </si>
  <si>
    <t>208311095</t>
  </si>
  <si>
    <t>F01739</t>
  </si>
  <si>
    <t>SUR BETON YAPI</t>
  </si>
  <si>
    <t>15.10.2025</t>
  </si>
  <si>
    <t>16.10.2025</t>
  </si>
  <si>
    <t>1053101414</t>
  </si>
  <si>
    <t>FRT GROUP LOJİSTİK</t>
  </si>
  <si>
    <t>22.10.2025</t>
  </si>
  <si>
    <t>4347017</t>
  </si>
  <si>
    <t>CE HAZIR BETON</t>
  </si>
  <si>
    <t>1085615241</t>
  </si>
  <si>
    <t>14.10.2025</t>
  </si>
  <si>
    <t>23.10.2025</t>
  </si>
  <si>
    <t>F06607</t>
  </si>
  <si>
    <t>ORKA YAPI</t>
  </si>
  <si>
    <t>654401</t>
  </si>
  <si>
    <t>27.04.2025</t>
  </si>
  <si>
    <t>27.10.2025</t>
  </si>
  <si>
    <t>1237898162</t>
  </si>
  <si>
    <t>1237893320</t>
  </si>
  <si>
    <t>HASLAN+TOPALAN+AGF</t>
  </si>
  <si>
    <t>F59776</t>
  </si>
  <si>
    <t>113</t>
  </si>
  <si>
    <t>MHG LİMAN+MEHMET İHSAN DEMİR İŞ ORT.</t>
  </si>
  <si>
    <t>BİTÜM+BETON LAB.DENEYLERİ</t>
  </si>
  <si>
    <t>28.10.2025</t>
  </si>
  <si>
    <t>F02309</t>
  </si>
  <si>
    <t>2025/114</t>
  </si>
  <si>
    <t>2025/115</t>
  </si>
  <si>
    <t>2025/116</t>
  </si>
  <si>
    <t>2025/117</t>
  </si>
  <si>
    <t>2025/118</t>
  </si>
  <si>
    <t>2025/119</t>
  </si>
  <si>
    <t>2025/120</t>
  </si>
  <si>
    <t>2025/121</t>
  </si>
  <si>
    <t>2025/122</t>
  </si>
  <si>
    <t>2025/123</t>
  </si>
  <si>
    <t>2025/124</t>
  </si>
  <si>
    <t>2025/125</t>
  </si>
  <si>
    <t>2025/126</t>
  </si>
  <si>
    <t>2025/127</t>
  </si>
  <si>
    <t>2025/128</t>
  </si>
  <si>
    <t>2025/129</t>
  </si>
  <si>
    <t>2025/130</t>
  </si>
  <si>
    <t>TPAO BATMAN (MEHMET EFE MERT-BULCAN)</t>
  </si>
  <si>
    <t>10.11.2025</t>
  </si>
  <si>
    <t>1111838297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</si>
  <si>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</si>
  <si>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</si>
  <si>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</si>
  <si>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</si>
  <si>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</si>
  <si>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</si>
  <si>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</si>
  <si>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</si>
  <si>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</si>
  <si>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</si>
  <si>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</si>
  <si>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</si>
  <si>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</si>
  <si>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</si>
  <si>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</si>
  <si>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</si>
  <si>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</si>
  <si>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TPAO BATMAN BÖL.MÜD.(İLTEN YOL)</t>
  </si>
  <si>
    <t>FAAD65</t>
  </si>
  <si>
    <t>MİKAİL İNŞ.+SURYOL İNİ.İŞ ORTK.</t>
  </si>
  <si>
    <t>11.11.2025</t>
  </si>
  <si>
    <t>7740010</t>
  </si>
  <si>
    <t>KIRIMOĞLU MÜH.</t>
  </si>
  <si>
    <t>12.11.2025</t>
  </si>
  <si>
    <t>9496537</t>
  </si>
  <si>
    <t>13.11.2025</t>
  </si>
  <si>
    <t>MEHMET DURMAZ ARYA MÜH. -KD  İŞ ORTK</t>
  </si>
  <si>
    <t>1116243686</t>
  </si>
  <si>
    <t>ELH-EYLÜL-FENİX İŞ ORTK.</t>
  </si>
  <si>
    <t>17.11.2025</t>
  </si>
  <si>
    <t>04.11.2025</t>
  </si>
  <si>
    <t>7958920</t>
  </si>
  <si>
    <t>DEMYOL İNŞ.</t>
  </si>
  <si>
    <t>6760000137</t>
  </si>
  <si>
    <t>ÖZSAL+ŞERİFOĞLU İŞ ORT.</t>
  </si>
  <si>
    <t>F01813</t>
  </si>
  <si>
    <t>MİLA ENERJİ İNŞAAT</t>
  </si>
  <si>
    <t>18.11.2025</t>
  </si>
  <si>
    <t>5003532</t>
  </si>
  <si>
    <t>25.08.2025</t>
  </si>
  <si>
    <t>27.08.2025</t>
  </si>
  <si>
    <t>6066903</t>
  </si>
  <si>
    <t>MARDİN BÜYÜKŞEHİR BELEDİYESİ</t>
  </si>
  <si>
    <t>22.09.2025</t>
  </si>
  <si>
    <t>1043245340</t>
  </si>
  <si>
    <t>TOPRAK-BİTÜM.BETON LAB.DENEYLERİ</t>
  </si>
  <si>
    <t>F02201</t>
  </si>
  <si>
    <t>SÜHAYOL İNŞAAT</t>
  </si>
  <si>
    <t>7959151</t>
  </si>
  <si>
    <t>ORAK ALTAPI SAN.</t>
  </si>
  <si>
    <t>20.11.2025</t>
  </si>
  <si>
    <t>19.11.2025</t>
  </si>
  <si>
    <t>1420100</t>
  </si>
  <si>
    <t>MİLLİ SAVUNMA BAKANLIĞI (T.C.B İNŞAAT)</t>
  </si>
  <si>
    <t>21.11.2025</t>
  </si>
  <si>
    <t>1276242015</t>
  </si>
  <si>
    <t>DEHA+DEMİR MARDİN İŞ ORTK.</t>
  </si>
  <si>
    <t>F00787</t>
  </si>
  <si>
    <t>ESKİKALE+ARFEM İNŞ. İŞ ORTK.</t>
  </si>
  <si>
    <t>24.11.2025</t>
  </si>
  <si>
    <t>9101073</t>
  </si>
  <si>
    <t>Karayolları 9. Bölge Müdürlüğü
2025 YILI KASIM AYI 
AR-GE Dairesi Bşk. Hizmetleri  Protokollu  İşler Listesi</t>
  </si>
  <si>
    <t>2025/131</t>
  </si>
  <si>
    <t>2025/132</t>
  </si>
  <si>
    <t>2025/133</t>
  </si>
  <si>
    <t>2025/134</t>
  </si>
  <si>
    <t>2025/135</t>
  </si>
  <si>
    <t>2025/136</t>
  </si>
  <si>
    <t>2025/137</t>
  </si>
  <si>
    <t>2025/138</t>
  </si>
  <si>
    <t>2025/139</t>
  </si>
  <si>
    <t>2025/140</t>
  </si>
  <si>
    <t>2025/141</t>
  </si>
  <si>
    <t>2025/142</t>
  </si>
  <si>
    <t>2025/143</t>
  </si>
  <si>
    <t>2025/144</t>
  </si>
  <si>
    <t>2025/145</t>
  </si>
  <si>
    <t>2025/146</t>
  </si>
  <si>
    <t>2025/147</t>
  </si>
  <si>
    <t>2025/148</t>
  </si>
  <si>
    <t>2025/149</t>
  </si>
  <si>
    <t>2025/150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</si>
  <si>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</si>
  <si>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</si>
  <si>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</si>
  <si>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</si>
  <si>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</si>
  <si>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</si>
  <si>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</si>
  <si>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</si>
  <si>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</si>
  <si>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</si>
  <si>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</si>
  <si>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</si>
  <si>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</si>
  <si>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</si>
  <si>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</si>
  <si>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</si>
  <si>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</si>
  <si>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</si>
  <si>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</si>
  <si>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</si>
  <si>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BİTÜM LB.DENEYLERİ</t>
  </si>
  <si>
    <t>01.12.2025</t>
  </si>
  <si>
    <t>5627143</t>
  </si>
  <si>
    <t>AGA ENERJİ+EGE İNŞ
İŞ ORTK.</t>
  </si>
  <si>
    <t>24.10.2025</t>
  </si>
  <si>
    <t>3876911</t>
  </si>
  <si>
    <t>3876917</t>
  </si>
  <si>
    <t>04.09.2025</t>
  </si>
  <si>
    <t>3876914</t>
  </si>
  <si>
    <t>DALMIZRAK İNŞ
(SİİRT İL.ÖZEL İDARESİ)</t>
  </si>
  <si>
    <t>03.12.2025</t>
  </si>
  <si>
    <t>F05185</t>
  </si>
  <si>
    <t>04.12.2025</t>
  </si>
  <si>
    <t>845376</t>
  </si>
  <si>
    <t>MİLLİ SAVUNMA BAKANLIĞI</t>
  </si>
  <si>
    <t>06.12.2025</t>
  </si>
  <si>
    <t>1153624062</t>
  </si>
  <si>
    <t>ELH İNŞ.-MANTAŞ YOL İNŞ.</t>
  </si>
  <si>
    <t>16.12.2025</t>
  </si>
  <si>
    <t>ELH İNŞ.+MANTAŞ YOL İNŞ.
İŞ ORTK.</t>
  </si>
  <si>
    <t>1171753446</t>
  </si>
  <si>
    <t>MEHMET DURMAZ ARYA MÜH.</t>
  </si>
  <si>
    <t>TOPRAK-BETON LAB.DENEYLERİ</t>
  </si>
  <si>
    <t>17.12.2025</t>
  </si>
  <si>
    <t>18.12.2025</t>
  </si>
  <si>
    <t>7316480</t>
  </si>
  <si>
    <t>GÖNÜÇ İNŞ+AYDİÇ  MAD.</t>
  </si>
  <si>
    <t>23.11.2025</t>
  </si>
  <si>
    <t>0048488230</t>
  </si>
  <si>
    <t>BARAN YAPI İNŞ.</t>
  </si>
  <si>
    <t>24.12.2025</t>
  </si>
  <si>
    <t>23.12.2025</t>
  </si>
  <si>
    <t>9272335</t>
  </si>
  <si>
    <t>9263902</t>
  </si>
  <si>
    <t>SOLMAZ YAPI İNŞAAT
(BATMAN ORG.SANAYİ)</t>
  </si>
  <si>
    <t>22.12.2025</t>
  </si>
  <si>
    <t>9168095</t>
  </si>
  <si>
    <t>ELH İNŞ+FENİX PET. İŞ ORT.</t>
  </si>
  <si>
    <t>15.12.2025</t>
  </si>
  <si>
    <t>7791318</t>
  </si>
  <si>
    <t>METROKENT İNŞAAT</t>
  </si>
  <si>
    <t>2309608834</t>
  </si>
  <si>
    <t>GÖNÜÇ İNŞ+AYDİŞ ADİ ORTK.</t>
  </si>
  <si>
    <t>ABDURRAHİM POLAT-POLAT MÜH.</t>
  </si>
  <si>
    <t>9258214</t>
  </si>
  <si>
    <t>AGF ENERJİ İNŞ.</t>
  </si>
  <si>
    <t>1320621938</t>
  </si>
  <si>
    <t>8055572</t>
  </si>
  <si>
    <t>YDS+BERTOĞLU+TEZCAN İŞ ORTK</t>
  </si>
  <si>
    <t>TORAK LAB.DENEYLERİ</t>
  </si>
  <si>
    <t>26.12.2026</t>
  </si>
  <si>
    <t>1323347166</t>
  </si>
  <si>
    <t>ATAKAN ERSOY</t>
  </si>
  <si>
    <t>Karayolları 9. Bölge Müdürlüğü
2025 YILI ARALIK AYI 
AR-GE Dairesi Bşk. Hizmetleri  Protokollu  İşler Listesi</t>
  </si>
  <si>
    <t>2025/151</t>
  </si>
  <si>
    <t>151</t>
  </si>
  <si>
    <t>ŞEREFOĞLU İNŞ.</t>
  </si>
  <si>
    <t>2180083</t>
  </si>
  <si>
    <t>Jiyan KARAKAŞ</t>
  </si>
  <si>
    <t>Üstyapı Gel.Müh.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</si>
</sst>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TL&quot;;[Red]\-#,##0.00\ &quot;TL&quot;"/>
    <numFmt numFmtId="165" formatCode="#,##0.00\ &quot;₺&quot;"/>
  </numFmts>
  <fonts count="32" x14ac:knownFonts="1">
    <font>
      <sz val="10"/>
      <name val="Arial"/>
    </font>
    <font>
      <sz val="10"/>
      <name val="Arial"/>
      <family val="2"/>
      <charset val="162"/>
    </font>
    <font>
      <b/>
      <sz val="20"/>
      <name val="Arial Tur"/>
      <charset val="162"/>
    </font>
    <font>
      <b/>
      <sz val="14"/>
      <name val="Arial"/>
      <family val="2"/>
      <charset val="162"/>
    </font>
    <font>
      <b/>
      <sz val="16"/>
      <name val="Arial"/>
      <family val="2"/>
      <charset val="162"/>
    </font>
    <font>
      <sz val="16"/>
      <name val="Arial"/>
      <family val="2"/>
      <charset val="162"/>
    </font>
    <font>
      <b/>
      <sz val="24"/>
      <name val="Arial"/>
      <family val="2"/>
      <charset val="162"/>
    </font>
    <font>
      <b/>
      <sz val="24"/>
      <name val="Arial Tur"/>
      <family val="2"/>
      <charset val="162"/>
    </font>
    <font>
      <b/>
      <sz val="12"/>
      <name val="Arial"/>
      <family val="2"/>
      <charset val="162"/>
    </font>
    <font>
      <b/>
      <sz val="16"/>
      <color indexed="8"/>
      <name val="Arial"/>
      <family val="2"/>
      <charset val="162"/>
    </font>
    <font>
      <sz val="18"/>
      <name val="Arial"/>
      <family val="2"/>
      <charset val="162"/>
    </font>
    <font>
      <b/>
      <sz val="18"/>
      <name val="Arial"/>
      <family val="2"/>
      <charset val="162"/>
    </font>
    <font>
      <b/>
      <sz val="20"/>
      <name val="Arial"/>
      <family val="2"/>
      <charset val="162"/>
    </font>
    <font>
      <b/>
      <sz val="15"/>
      <name val="Arial"/>
      <family val="2"/>
      <charset val="162"/>
    </font>
    <font>
      <b/>
      <sz val="15"/>
      <color indexed="8"/>
      <name val="Arial"/>
      <family val="2"/>
      <charset val="162"/>
    </font>
    <font>
      <sz val="18"/>
      <name val="Arial Tur"/>
      <charset val="162"/>
    </font>
    <font>
      <b/>
      <sz val="16"/>
      <name val="Arial Tur"/>
      <charset val="162"/>
    </font>
    <font>
      <b/>
      <sz val="16"/>
      <name val="Arial Tur"/>
      <family val="2"/>
      <charset val="162"/>
    </font>
    <font>
      <sz val="10"/>
      <color indexed="8"/>
      <name val="Calibri"/>
      <family val="2"/>
      <charset val="162"/>
    </font>
    <font>
      <b/>
      <sz val="10"/>
      <color indexed="8"/>
      <name val="Calibri"/>
      <family val="2"/>
      <charset val="162"/>
    </font>
    <font>
      <b/>
      <sz val="10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6"/>
      <color rgb="FFFF0000"/>
      <name val="Arial"/>
      <family val="2"/>
      <charset val="162"/>
    </font>
    <font>
      <sz val="14"/>
      <name val="Arial"/>
      <family val="2"/>
      <charset val="162"/>
    </font>
    <font>
      <b/>
      <sz val="16"/>
      <color theme="1"/>
      <name val="Arial"/>
      <family val="2"/>
      <charset val="162"/>
    </font>
    <font>
      <b/>
      <u/>
      <sz val="10"/>
      <name val="Arial"/>
      <family val="2"/>
      <charset val="162"/>
    </font>
    <font>
      <sz val="8"/>
      <name val="Arial"/>
    </font>
    <font>
      <sz val="8"/>
      <name val="Arial"/>
      <family val="2"/>
      <charset val="162"/>
    </font>
    <font>
      <sz val="10"/>
      <color theme="1"/>
      <name val="Arial"/>
      <family val="2"/>
      <charset val="162"/>
    </font>
    <font>
      <b/>
      <sz val="22"/>
      <name val="Arial"/>
      <family val="2"/>
      <charset val="162"/>
    </font>
    <font>
      <b/>
      <sz val="14"/>
      <color indexed="8"/>
      <name val="Arial"/>
      <family val="2"/>
      <charset val="162"/>
    </font>
    <font>
      <b/>
      <sz val="22"/>
      <name val="Arial Tur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63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1" fillId="0" borderId="0" xfId="1"/>
    <xf numFmtId="0" fontId="20" fillId="5" borderId="2" xfId="1" applyFont="1" applyFill="1" applyBorder="1" applyAlignment="1">
      <alignment horizontal="center" vertical="center"/>
    </xf>
    <xf numFmtId="0" fontId="20" fillId="5" borderId="2" xfId="1" applyFont="1" applyFill="1" applyBorder="1" applyAlignment="1">
      <alignment horizontal="center" vertical="center" wrapText="1"/>
    </xf>
    <xf numFmtId="0" fontId="21" fillId="0" borderId="2" xfId="1" applyFont="1" applyBorder="1" applyAlignment="1">
      <alignment horizontal="center" vertical="center"/>
    </xf>
    <xf numFmtId="0" fontId="21" fillId="0" borderId="2" xfId="1" applyFont="1" applyBorder="1" applyAlignment="1">
      <alignment horizontal="center" vertical="center" wrapText="1"/>
    </xf>
    <xf numFmtId="165" fontId="21" fillId="0" borderId="2" xfId="1" applyNumberFormat="1" applyFont="1" applyBorder="1" applyAlignment="1">
      <alignment horizontal="center" vertical="center" wrapText="1"/>
    </xf>
    <xf numFmtId="165" fontId="1" fillId="0" borderId="0" xfId="1" applyNumberFormat="1"/>
    <xf numFmtId="4" fontId="1" fillId="0" borderId="0" xfId="1" applyNumberFormat="1" applyFont="1"/>
    <xf numFmtId="0" fontId="21" fillId="6" borderId="2" xfId="1" applyFont="1" applyFill="1" applyBorder="1" applyAlignment="1">
      <alignment horizontal="center" vertical="center"/>
    </xf>
    <xf numFmtId="165" fontId="21" fillId="6" borderId="2" xfId="1" applyNumberFormat="1" applyFont="1" applyFill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4" fontId="5" fillId="0" borderId="2" xfId="1" applyNumberFormat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4" fontId="5" fillId="0" borderId="6" xfId="1" applyNumberFormat="1" applyFont="1" applyBorder="1" applyAlignment="1">
      <alignment horizontal="center" vertical="center"/>
    </xf>
    <xf numFmtId="4" fontId="5" fillId="0" borderId="7" xfId="1" applyNumberFormat="1" applyFont="1" applyBorder="1" applyAlignment="1">
      <alignment horizontal="center" vertical="center"/>
    </xf>
    <xf numFmtId="0" fontId="5" fillId="0" borderId="8" xfId="1" applyFont="1" applyBorder="1"/>
    <xf numFmtId="0" fontId="4" fillId="2" borderId="18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 wrapText="1"/>
    </xf>
    <xf numFmtId="49" fontId="4" fillId="0" borderId="18" xfId="0" applyNumberFormat="1" applyFont="1" applyBorder="1" applyAlignment="1">
      <alignment horizontal="center" vertical="center"/>
    </xf>
    <xf numFmtId="4" fontId="4" fillId="0" borderId="18" xfId="0" applyNumberFormat="1" applyFont="1" applyBorder="1" applyAlignment="1">
      <alignment horizontal="right" vertical="center"/>
    </xf>
    <xf numFmtId="4" fontId="4" fillId="0" borderId="18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7" fillId="3" borderId="18" xfId="0" applyFont="1" applyFill="1" applyBorder="1" applyAlignment="1">
      <alignment horizontal="center" vertical="center" wrapText="1"/>
    </xf>
    <xf numFmtId="49" fontId="4" fillId="4" borderId="18" xfId="0" applyNumberFormat="1" applyFont="1" applyFill="1" applyBorder="1" applyAlignment="1">
      <alignment horizontal="center" vertical="center" wrapText="1"/>
    </xf>
    <xf numFmtId="4" fontId="22" fillId="0" borderId="18" xfId="0" applyNumberFormat="1" applyFont="1" applyBorder="1" applyAlignment="1">
      <alignment horizontal="right" vertical="center"/>
    </xf>
    <xf numFmtId="14" fontId="4" fillId="0" borderId="18" xfId="0" applyNumberFormat="1" applyFont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 wrapText="1"/>
    </xf>
    <xf numFmtId="0" fontId="23" fillId="0" borderId="5" xfId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14" fontId="3" fillId="0" borderId="18" xfId="0" applyNumberFormat="1" applyFont="1" applyBorder="1" applyAlignment="1">
      <alignment horizontal="center" vertical="center"/>
    </xf>
    <xf numFmtId="49" fontId="11" fillId="0" borderId="18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4" fontId="4" fillId="0" borderId="25" xfId="0" applyNumberFormat="1" applyFont="1" applyBorder="1" applyAlignment="1">
      <alignment horizontal="right" vertical="center"/>
    </xf>
    <xf numFmtId="4" fontId="22" fillId="0" borderId="25" xfId="0" applyNumberFormat="1" applyFont="1" applyBorder="1" applyAlignment="1">
      <alignment horizontal="right" vertical="center"/>
    </xf>
    <xf numFmtId="49" fontId="4" fillId="0" borderId="18" xfId="0" applyNumberFormat="1" applyFont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wrapText="1"/>
    </xf>
    <xf numFmtId="2" fontId="4" fillId="0" borderId="18" xfId="0" applyNumberFormat="1" applyFont="1" applyBorder="1" applyAlignment="1">
      <alignment horizontal="right" vertical="center" wrapText="1"/>
    </xf>
    <xf numFmtId="4" fontId="5" fillId="0" borderId="18" xfId="0" applyNumberFormat="1" applyFont="1" applyBorder="1" applyAlignment="1">
      <alignment horizontal="right" vertical="center"/>
    </xf>
    <xf numFmtId="0" fontId="4" fillId="0" borderId="25" xfId="0" applyFont="1" applyBorder="1" applyAlignment="1">
      <alignment horizontal="center" vertical="center"/>
    </xf>
    <xf numFmtId="4" fontId="4" fillId="0" borderId="25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0" fontId="17" fillId="3" borderId="25" xfId="0" applyFont="1" applyFill="1" applyBorder="1" applyAlignment="1">
      <alignment horizontal="center" vertical="center" wrapText="1"/>
    </xf>
    <xf numFmtId="4" fontId="22" fillId="0" borderId="18" xfId="0" applyNumberFormat="1" applyFont="1" applyBorder="1" applyAlignment="1">
      <alignment horizontal="center" vertical="center"/>
    </xf>
    <xf numFmtId="4" fontId="24" fillId="0" borderId="18" xfId="0" applyNumberFormat="1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 wrapText="1"/>
    </xf>
    <xf numFmtId="0" fontId="4" fillId="2" borderId="18" xfId="0" applyFont="1" applyFill="1" applyBorder="1" applyAlignment="1">
      <alignment horizontal="center" wrapText="1"/>
    </xf>
    <xf numFmtId="49" fontId="4" fillId="0" borderId="18" xfId="0" applyNumberFormat="1" applyFont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49" fontId="4" fillId="0" borderId="18" xfId="0" applyNumberFormat="1" applyFont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 wrapText="1"/>
    </xf>
    <xf numFmtId="0" fontId="21" fillId="6" borderId="2" xfId="1" applyNumberFormat="1" applyFont="1" applyFill="1" applyBorder="1" applyAlignment="1">
      <alignment horizontal="center" vertical="center" wrapText="1"/>
    </xf>
    <xf numFmtId="4" fontId="22" fillId="0" borderId="25" xfId="0" applyNumberFormat="1" applyFont="1" applyBorder="1" applyAlignment="1">
      <alignment horizontal="center" vertical="center"/>
    </xf>
    <xf numFmtId="0" fontId="4" fillId="2" borderId="18" xfId="0" applyFont="1" applyFill="1" applyBorder="1" applyAlignment="1">
      <alignment vertical="center"/>
    </xf>
    <xf numFmtId="0" fontId="4" fillId="3" borderId="18" xfId="0" applyFont="1" applyFill="1" applyBorder="1" applyAlignment="1">
      <alignment vertical="center" wrapText="1"/>
    </xf>
    <xf numFmtId="49" fontId="4" fillId="4" borderId="18" xfId="0" applyNumberFormat="1" applyFont="1" applyFill="1" applyBorder="1" applyAlignment="1">
      <alignment vertical="center" wrapText="1"/>
    </xf>
    <xf numFmtId="49" fontId="4" fillId="0" borderId="18" xfId="0" applyNumberFormat="1" applyFont="1" applyBorder="1" applyAlignment="1">
      <alignment vertical="center" wrapText="1"/>
    </xf>
    <xf numFmtId="49" fontId="4" fillId="0" borderId="18" xfId="0" applyNumberFormat="1" applyFont="1" applyBorder="1" applyAlignment="1">
      <alignment vertical="center"/>
    </xf>
    <xf numFmtId="4" fontId="4" fillId="0" borderId="18" xfId="0" applyNumberFormat="1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49" fontId="3" fillId="0" borderId="18" xfId="0" applyNumberFormat="1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4" fontId="4" fillId="0" borderId="25" xfId="0" applyNumberFormat="1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2" fontId="4" fillId="0" borderId="18" xfId="0" applyNumberFormat="1" applyFont="1" applyBorder="1" applyAlignment="1">
      <alignment horizontal="center" vertical="center" wrapText="1"/>
    </xf>
    <xf numFmtId="4" fontId="4" fillId="0" borderId="18" xfId="0" applyNumberFormat="1" applyFont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 wrapText="1"/>
    </xf>
    <xf numFmtId="49" fontId="4" fillId="0" borderId="18" xfId="0" applyNumberFormat="1" applyFont="1" applyBorder="1" applyAlignment="1">
      <alignment horizontal="center" vertical="center" wrapText="1"/>
    </xf>
    <xf numFmtId="4" fontId="28" fillId="0" borderId="2" xfId="0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4" fillId="2" borderId="18" xfId="0" applyFont="1" applyFill="1" applyBorder="1" applyAlignment="1">
      <alignment horizont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49" fontId="3" fillId="0" borderId="19" xfId="0" applyNumberFormat="1" applyFont="1" applyBorder="1" applyAlignment="1">
      <alignment horizontal="center" vertical="center" wrapText="1"/>
    </xf>
    <xf numFmtId="49" fontId="3" fillId="0" borderId="21" xfId="0" applyNumberFormat="1" applyFont="1" applyBorder="1" applyAlignment="1">
      <alignment horizontal="center" vertical="center" wrapText="1"/>
    </xf>
    <xf numFmtId="49" fontId="3" fillId="0" borderId="20" xfId="0" applyNumberFormat="1" applyFont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49" fontId="4" fillId="0" borderId="19" xfId="0" applyNumberFormat="1" applyFont="1" applyBorder="1" applyAlignment="1">
      <alignment horizontal="center" vertical="center" wrapText="1"/>
    </xf>
    <xf numFmtId="49" fontId="4" fillId="0" borderId="21" xfId="0" applyNumberFormat="1" applyFont="1" applyBorder="1" applyAlignment="1">
      <alignment horizontal="center" vertical="center" wrapText="1"/>
    </xf>
    <xf numFmtId="49" fontId="4" fillId="0" borderId="20" xfId="0" applyNumberFormat="1" applyFont="1" applyBorder="1" applyAlignment="1">
      <alignment horizontal="center" vertical="center" wrapText="1"/>
    </xf>
    <xf numFmtId="49" fontId="4" fillId="0" borderId="18" xfId="0" applyNumberFormat="1" applyFont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wrapText="1"/>
    </xf>
    <xf numFmtId="0" fontId="4" fillId="2" borderId="18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49" fontId="4" fillId="0" borderId="18" xfId="0" applyNumberFormat="1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49" fontId="4" fillId="0" borderId="19" xfId="0" applyNumberFormat="1" applyFont="1" applyBorder="1" applyAlignment="1">
      <alignment horizontal="center" vertical="center" wrapText="1"/>
    </xf>
    <xf numFmtId="49" fontId="4" fillId="0" borderId="21" xfId="0" applyNumberFormat="1" applyFont="1" applyBorder="1" applyAlignment="1">
      <alignment horizontal="center" vertical="center" wrapText="1"/>
    </xf>
    <xf numFmtId="49" fontId="4" fillId="0" borderId="20" xfId="0" applyNumberFormat="1" applyFont="1" applyBorder="1" applyAlignment="1">
      <alignment horizontal="center" vertical="center" wrapText="1"/>
    </xf>
    <xf numFmtId="49" fontId="4" fillId="0" borderId="18" xfId="0" applyNumberFormat="1" applyFont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wrapText="1"/>
    </xf>
    <xf numFmtId="0" fontId="4" fillId="2" borderId="18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49" fontId="4" fillId="0" borderId="18" xfId="0" applyNumberFormat="1" applyFont="1" applyBorder="1" applyAlignment="1">
      <alignment horizontal="center" vertical="center" wrapText="1"/>
    </xf>
    <xf numFmtId="49" fontId="4" fillId="0" borderId="18" xfId="0" applyNumberFormat="1" applyFont="1" applyBorder="1" applyAlignment="1">
      <alignment horizontal="center" vertical="center" wrapText="1"/>
    </xf>
    <xf numFmtId="49" fontId="4" fillId="0" borderId="18" xfId="0" applyNumberFormat="1" applyFont="1" applyBorder="1" applyAlignment="1">
      <alignment horizontal="center" vertical="center" wrapText="1"/>
    </xf>
    <xf numFmtId="49" fontId="4" fillId="0" borderId="18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 wrapText="1"/>
    </xf>
    <xf numFmtId="4" fontId="3" fillId="0" borderId="18" xfId="0" applyNumberFormat="1" applyFont="1" applyBorder="1" applyAlignment="1">
      <alignment horizontal="center" vertical="center"/>
    </xf>
    <xf numFmtId="4" fontId="3" fillId="0" borderId="18" xfId="0" applyNumberFormat="1" applyFont="1" applyBorder="1" applyAlignment="1">
      <alignment vertical="center"/>
    </xf>
    <xf numFmtId="0" fontId="3" fillId="0" borderId="18" xfId="0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 wrapText="1"/>
    </xf>
    <xf numFmtId="49" fontId="4" fillId="0" borderId="18" xfId="0" applyNumberFormat="1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49" fontId="3" fillId="0" borderId="18" xfId="0" applyNumberFormat="1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2" fontId="3" fillId="0" borderId="18" xfId="0" applyNumberFormat="1" applyFont="1" applyBorder="1" applyAlignment="1">
      <alignment horizontal="center" vertical="center" wrapText="1"/>
    </xf>
    <xf numFmtId="49" fontId="3" fillId="0" borderId="19" xfId="0" applyNumberFormat="1" applyFont="1" applyBorder="1" applyAlignment="1">
      <alignment horizontal="center" vertical="center" wrapText="1"/>
    </xf>
    <xf numFmtId="49" fontId="3" fillId="0" borderId="21" xfId="0" applyNumberFormat="1" applyFont="1" applyBorder="1" applyAlignment="1">
      <alignment horizontal="center" vertical="center" wrapText="1"/>
    </xf>
    <xf numFmtId="49" fontId="3" fillId="0" borderId="20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wrapText="1"/>
    </xf>
    <xf numFmtId="0" fontId="13" fillId="2" borderId="18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2" fontId="13" fillId="2" borderId="18" xfId="0" applyNumberFormat="1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right" vertical="center"/>
    </xf>
    <xf numFmtId="0" fontId="16" fillId="2" borderId="0" xfId="0" applyFont="1" applyFill="1" applyBorder="1" applyAlignment="1">
      <alignment horizontal="right" vertical="center"/>
    </xf>
    <xf numFmtId="4" fontId="3" fillId="0" borderId="18" xfId="0" applyNumberFormat="1" applyFont="1" applyFill="1" applyBorder="1" applyAlignment="1">
      <alignment vertical="center"/>
    </xf>
    <xf numFmtId="0" fontId="10" fillId="0" borderId="18" xfId="0" applyFont="1" applyFill="1" applyBorder="1" applyAlignment="1">
      <alignment horizontal="left"/>
    </xf>
    <xf numFmtId="4" fontId="12" fillId="0" borderId="18" xfId="0" applyNumberFormat="1" applyFont="1" applyFill="1" applyBorder="1" applyAlignment="1">
      <alignment vertical="center"/>
    </xf>
    <xf numFmtId="164" fontId="2" fillId="0" borderId="18" xfId="0" applyNumberFormat="1" applyFont="1" applyFill="1" applyBorder="1" applyAlignment="1">
      <alignment horizontal="right"/>
    </xf>
    <xf numFmtId="4" fontId="8" fillId="0" borderId="18" xfId="0" applyNumberFormat="1" applyFont="1" applyFill="1" applyBorder="1" applyAlignment="1">
      <alignment vertical="center"/>
    </xf>
    <xf numFmtId="4" fontId="4" fillId="0" borderId="18" xfId="0" applyNumberFormat="1" applyFont="1" applyFill="1" applyBorder="1" applyAlignment="1">
      <alignment vertical="center"/>
    </xf>
    <xf numFmtId="0" fontId="15" fillId="0" borderId="18" xfId="0" applyFont="1" applyFill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49" fontId="3" fillId="0" borderId="18" xfId="0" applyNumberFormat="1" applyFont="1" applyBorder="1" applyAlignment="1">
      <alignment vertical="center" wrapText="1"/>
    </xf>
    <xf numFmtId="49" fontId="4" fillId="0" borderId="18" xfId="0" applyNumberFormat="1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49" fontId="3" fillId="0" borderId="19" xfId="0" applyNumberFormat="1" applyFont="1" applyBorder="1" applyAlignment="1">
      <alignment vertical="center" wrapText="1"/>
    </xf>
    <xf numFmtId="49" fontId="3" fillId="0" borderId="21" xfId="0" applyNumberFormat="1" applyFont="1" applyBorder="1" applyAlignment="1">
      <alignment vertical="center" wrapText="1"/>
    </xf>
    <xf numFmtId="49" fontId="3" fillId="0" borderId="20" xfId="0" applyNumberFormat="1" applyFont="1" applyBorder="1" applyAlignment="1">
      <alignment vertical="center" wrapText="1"/>
    </xf>
    <xf numFmtId="0" fontId="4" fillId="0" borderId="18" xfId="0" applyFont="1" applyBorder="1" applyAlignment="1">
      <alignment vertical="center" wrapText="1"/>
    </xf>
    <xf numFmtId="0" fontId="16" fillId="2" borderId="13" xfId="0" applyFont="1" applyFill="1" applyBorder="1" applyAlignment="1">
      <alignment vertical="center"/>
    </xf>
    <xf numFmtId="0" fontId="16" fillId="2" borderId="0" xfId="0" applyFont="1" applyFill="1" applyBorder="1" applyAlignment="1">
      <alignment vertical="center"/>
    </xf>
    <xf numFmtId="0" fontId="16" fillId="2" borderId="18" xfId="0" applyFont="1" applyFill="1" applyBorder="1" applyAlignment="1">
      <alignment vertical="center"/>
    </xf>
    <xf numFmtId="0" fontId="3" fillId="0" borderId="18" xfId="0" applyFont="1" applyBorder="1" applyAlignment="1">
      <alignment vertical="center" wrapText="1"/>
    </xf>
    <xf numFmtId="0" fontId="3" fillId="0" borderId="21" xfId="0" applyFont="1" applyBorder="1" applyAlignment="1">
      <alignment horizontal="center" vertical="center" wrapText="1"/>
    </xf>
    <xf numFmtId="164" fontId="2" fillId="0" borderId="19" xfId="0" applyNumberFormat="1" applyFont="1" applyFill="1" applyBorder="1" applyAlignment="1">
      <alignment horizontal="right"/>
    </xf>
    <xf numFmtId="164" fontId="2" fillId="0" borderId="21" xfId="0" applyNumberFormat="1" applyFont="1" applyFill="1" applyBorder="1" applyAlignment="1">
      <alignment horizontal="right"/>
    </xf>
    <xf numFmtId="164" fontId="2" fillId="0" borderId="20" xfId="0" applyNumberFormat="1" applyFont="1" applyFill="1" applyBorder="1" applyAlignment="1">
      <alignment horizontal="right"/>
    </xf>
    <xf numFmtId="0" fontId="15" fillId="0" borderId="19" xfId="0" applyFont="1" applyFill="1" applyBorder="1" applyAlignment="1">
      <alignment horizontal="left"/>
    </xf>
    <xf numFmtId="0" fontId="15" fillId="0" borderId="21" xfId="0" applyFont="1" applyFill="1" applyBorder="1" applyAlignment="1">
      <alignment horizontal="left"/>
    </xf>
    <xf numFmtId="0" fontId="15" fillId="0" borderId="20" xfId="0" applyFont="1" applyFill="1" applyBorder="1" applyAlignment="1">
      <alignment horizontal="left"/>
    </xf>
    <xf numFmtId="0" fontId="10" fillId="0" borderId="19" xfId="0" applyFont="1" applyFill="1" applyBorder="1" applyAlignment="1">
      <alignment horizontal="left"/>
    </xf>
    <xf numFmtId="0" fontId="10" fillId="0" borderId="21" xfId="0" applyFont="1" applyFill="1" applyBorder="1" applyAlignment="1">
      <alignment horizontal="left"/>
    </xf>
    <xf numFmtId="0" fontId="10" fillId="0" borderId="20" xfId="0" applyFont="1" applyFill="1" applyBorder="1" applyAlignment="1">
      <alignment horizontal="left"/>
    </xf>
    <xf numFmtId="4" fontId="8" fillId="0" borderId="19" xfId="0" applyNumberFormat="1" applyFont="1" applyFill="1" applyBorder="1" applyAlignment="1">
      <alignment vertical="center"/>
    </xf>
    <xf numFmtId="4" fontId="8" fillId="0" borderId="21" xfId="0" applyNumberFormat="1" applyFont="1" applyFill="1" applyBorder="1" applyAlignment="1">
      <alignment vertical="center"/>
    </xf>
    <xf numFmtId="4" fontId="8" fillId="0" borderId="20" xfId="0" applyNumberFormat="1" applyFont="1" applyFill="1" applyBorder="1" applyAlignment="1">
      <alignment vertical="center"/>
    </xf>
    <xf numFmtId="4" fontId="12" fillId="0" borderId="19" xfId="0" applyNumberFormat="1" applyFont="1" applyFill="1" applyBorder="1" applyAlignment="1">
      <alignment vertical="center"/>
    </xf>
    <xf numFmtId="4" fontId="12" fillId="0" borderId="21" xfId="0" applyNumberFormat="1" applyFont="1" applyFill="1" applyBorder="1" applyAlignment="1">
      <alignment vertical="center"/>
    </xf>
    <xf numFmtId="4" fontId="12" fillId="0" borderId="20" xfId="0" applyNumberFormat="1" applyFont="1" applyFill="1" applyBorder="1" applyAlignment="1">
      <alignment vertical="center"/>
    </xf>
    <xf numFmtId="4" fontId="4" fillId="0" borderId="19" xfId="0" applyNumberFormat="1" applyFont="1" applyFill="1" applyBorder="1" applyAlignment="1">
      <alignment vertical="center"/>
    </xf>
    <xf numFmtId="4" fontId="4" fillId="0" borderId="21" xfId="0" applyNumberFormat="1" applyFont="1" applyFill="1" applyBorder="1" applyAlignment="1">
      <alignment vertical="center"/>
    </xf>
    <xf numFmtId="4" fontId="4" fillId="0" borderId="20" xfId="0" applyNumberFormat="1" applyFont="1" applyFill="1" applyBorder="1" applyAlignment="1">
      <alignment vertical="center"/>
    </xf>
    <xf numFmtId="0" fontId="16" fillId="2" borderId="19" xfId="0" applyFont="1" applyFill="1" applyBorder="1" applyAlignment="1">
      <alignment horizontal="right" vertical="center"/>
    </xf>
    <xf numFmtId="0" fontId="16" fillId="2" borderId="21" xfId="0" applyFont="1" applyFill="1" applyBorder="1" applyAlignment="1">
      <alignment horizontal="right" vertical="center"/>
    </xf>
    <xf numFmtId="0" fontId="16" fillId="2" borderId="20" xfId="0" applyFont="1" applyFill="1" applyBorder="1" applyAlignment="1">
      <alignment horizontal="right" vertical="center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13" fillId="2" borderId="25" xfId="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center" vertical="center" wrapText="1"/>
    </xf>
    <xf numFmtId="0" fontId="14" fillId="2" borderId="24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center" vertical="center" wrapText="1"/>
    </xf>
    <xf numFmtId="49" fontId="4" fillId="0" borderId="19" xfId="0" applyNumberFormat="1" applyFont="1" applyBorder="1" applyAlignment="1">
      <alignment horizontal="center" vertical="center" wrapText="1"/>
    </xf>
    <xf numFmtId="49" fontId="4" fillId="0" borderId="21" xfId="0" applyNumberFormat="1" applyFont="1" applyBorder="1" applyAlignment="1">
      <alignment horizontal="center" vertical="center" wrapText="1"/>
    </xf>
    <xf numFmtId="49" fontId="4" fillId="0" borderId="20" xfId="0" applyNumberFormat="1" applyFont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49" fontId="4" fillId="0" borderId="18" xfId="0" applyNumberFormat="1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/>
    </xf>
    <xf numFmtId="0" fontId="7" fillId="0" borderId="18" xfId="0" applyFont="1" applyBorder="1" applyAlignment="1">
      <alignment horizontal="center" vertical="center" wrapText="1"/>
    </xf>
    <xf numFmtId="0" fontId="16" fillId="2" borderId="18" xfId="0" applyFont="1" applyFill="1" applyBorder="1" applyAlignment="1">
      <alignment horizontal="right" vertical="center"/>
    </xf>
    <xf numFmtId="0" fontId="16" fillId="2" borderId="18" xfId="0" applyFont="1" applyFill="1" applyBorder="1" applyAlignment="1">
      <alignment horizontal="left" vertical="center"/>
    </xf>
    <xf numFmtId="0" fontId="10" fillId="0" borderId="19" xfId="0" applyFont="1" applyFill="1" applyBorder="1" applyAlignment="1">
      <alignment horizontal="left" vertical="top"/>
    </xf>
    <xf numFmtId="0" fontId="10" fillId="0" borderId="21" xfId="0" applyFont="1" applyFill="1" applyBorder="1" applyAlignment="1">
      <alignment horizontal="left" vertical="top"/>
    </xf>
    <xf numFmtId="0" fontId="10" fillId="0" borderId="20" xfId="0" applyFont="1" applyFill="1" applyBorder="1" applyAlignment="1">
      <alignment horizontal="left" vertical="top"/>
    </xf>
    <xf numFmtId="0" fontId="29" fillId="0" borderId="10" xfId="0" applyFont="1" applyBorder="1" applyAlignment="1">
      <alignment horizontal="center"/>
    </xf>
    <xf numFmtId="0" fontId="29" fillId="0" borderId="11" xfId="0" applyFont="1" applyBorder="1" applyAlignment="1">
      <alignment horizontal="center"/>
    </xf>
    <xf numFmtId="0" fontId="29" fillId="0" borderId="12" xfId="0" applyFont="1" applyBorder="1" applyAlignment="1">
      <alignment horizontal="center"/>
    </xf>
    <xf numFmtId="0" fontId="16" fillId="2" borderId="19" xfId="0" applyFont="1" applyFill="1" applyBorder="1" applyAlignment="1">
      <alignment horizontal="left" vertical="center"/>
    </xf>
    <xf numFmtId="0" fontId="16" fillId="2" borderId="21" xfId="0" applyFont="1" applyFill="1" applyBorder="1" applyAlignment="1">
      <alignment horizontal="left" vertical="center"/>
    </xf>
    <xf numFmtId="0" fontId="16" fillId="2" borderId="20" xfId="0" applyFont="1" applyFill="1" applyBorder="1" applyAlignment="1">
      <alignment horizontal="left" vertical="center"/>
    </xf>
    <xf numFmtId="0" fontId="10" fillId="0" borderId="19" xfId="0" applyFont="1" applyFill="1" applyBorder="1" applyAlignment="1">
      <alignment horizontal="left" vertical="center"/>
    </xf>
    <xf numFmtId="0" fontId="10" fillId="0" borderId="21" xfId="0" applyFont="1" applyFill="1" applyBorder="1" applyAlignment="1">
      <alignment horizontal="left" vertical="center"/>
    </xf>
    <xf numFmtId="0" fontId="10" fillId="0" borderId="20" xfId="0" applyFont="1" applyFill="1" applyBorder="1" applyAlignment="1">
      <alignment horizontal="left" vertic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1" fillId="0" borderId="13" xfId="0" applyFont="1" applyBorder="1" applyAlignment="1">
      <alignment horizontal="center" vertical="center" wrapText="1"/>
    </xf>
    <xf numFmtId="0" fontId="31" fillId="0" borderId="0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0" fillId="2" borderId="10" xfId="0" applyFont="1" applyFill="1" applyBorder="1" applyAlignment="1">
      <alignment horizontal="center" vertical="center" wrapText="1"/>
    </xf>
    <xf numFmtId="0" fontId="30" fillId="2" borderId="11" xfId="0" applyFont="1" applyFill="1" applyBorder="1" applyAlignment="1">
      <alignment horizontal="center" vertical="center" wrapText="1"/>
    </xf>
    <xf numFmtId="0" fontId="30" fillId="2" borderId="12" xfId="0" applyFont="1" applyFill="1" applyBorder="1" applyAlignment="1">
      <alignment horizontal="center" vertical="center" wrapText="1"/>
    </xf>
    <xf numFmtId="0" fontId="30" fillId="2" borderId="22" xfId="0" applyFont="1" applyFill="1" applyBorder="1" applyAlignment="1">
      <alignment horizontal="center" vertical="center" wrapText="1"/>
    </xf>
    <xf numFmtId="0" fontId="30" fillId="2" borderId="23" xfId="0" applyFont="1" applyFill="1" applyBorder="1" applyAlignment="1">
      <alignment horizontal="center" vertical="center" wrapText="1"/>
    </xf>
    <xf numFmtId="0" fontId="30" fillId="2" borderId="2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11" fillId="0" borderId="15" xfId="1" applyFont="1" applyBorder="1" applyAlignment="1">
      <alignment horizontal="center" vertical="center" wrapText="1"/>
    </xf>
    <xf numFmtId="0" fontId="11" fillId="0" borderId="16" xfId="1" applyFont="1" applyBorder="1" applyAlignment="1">
      <alignment horizontal="center" vertical="center" wrapText="1"/>
    </xf>
    <xf numFmtId="0" fontId="11" fillId="0" borderId="17" xfId="1" applyFont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20" fillId="7" borderId="1" xfId="1" applyFont="1" applyFill="1" applyBorder="1" applyAlignment="1">
      <alignment horizontal="center" vertical="center" wrapText="1"/>
    </xf>
    <xf numFmtId="0" fontId="20" fillId="7" borderId="9" xfId="1" applyFont="1" applyFill="1" applyBorder="1" applyAlignment="1">
      <alignment horizontal="center" vertical="center" wrapText="1"/>
    </xf>
    <xf numFmtId="0" fontId="20" fillId="7" borderId="3" xfId="1" applyFont="1" applyFill="1" applyBorder="1" applyAlignment="1">
      <alignment horizontal="center" vertical="center" wrapText="1"/>
    </xf>
    <xf numFmtId="0" fontId="25" fillId="0" borderId="0" xfId="1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65786" name="Picture 1">
          <a:extLst>
            <a:ext uri="{FF2B5EF4-FFF2-40B4-BE49-F238E27FC236}">
              <a16:creationId xmlns:a16="http://schemas.microsoft.com/office/drawing/2014/main" id="{00000000-0008-0000-0000-0000F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143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65787" name="Picture 2">
          <a:extLst>
            <a:ext uri="{FF2B5EF4-FFF2-40B4-BE49-F238E27FC236}">
              <a16:creationId xmlns:a16="http://schemas.microsoft.com/office/drawing/2014/main" id="{00000000-0008-0000-0000-0000F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143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65788" name="Picture 4">
          <a:extLst>
            <a:ext uri="{FF2B5EF4-FFF2-40B4-BE49-F238E27FC236}">
              <a16:creationId xmlns:a16="http://schemas.microsoft.com/office/drawing/2014/main" id="{00000000-0008-0000-0000-0000F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143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65789" name="Picture 5">
          <a:extLst>
            <a:ext uri="{FF2B5EF4-FFF2-40B4-BE49-F238E27FC236}">
              <a16:creationId xmlns:a16="http://schemas.microsoft.com/office/drawing/2014/main" id="{00000000-0008-0000-0000-0000F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143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152400</xdr:rowOff>
    </xdr:from>
    <xdr:to>
      <xdr:col>2</xdr:col>
      <xdr:colOff>704850</xdr:colOff>
      <xdr:row>2</xdr:row>
      <xdr:rowOff>438150</xdr:rowOff>
    </xdr:to>
    <xdr:pic>
      <xdr:nvPicPr>
        <xdr:cNvPr id="65790" name="Resim 7">
          <a:extLst>
            <a:ext uri="{FF2B5EF4-FFF2-40B4-BE49-F238E27FC236}">
              <a16:creationId xmlns:a16="http://schemas.microsoft.com/office/drawing/2014/main" id="{00000000-0008-0000-0000-0000F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152400"/>
          <a:ext cx="123825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66846" name="Picture 1">
          <a:extLst>
            <a:ext uri="{FF2B5EF4-FFF2-40B4-BE49-F238E27FC236}">
              <a16:creationId xmlns:a16="http://schemas.microsoft.com/office/drawing/2014/main" id="{00000000-0008-0000-0100-00001E05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143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66847" name="Picture 2">
          <a:extLst>
            <a:ext uri="{FF2B5EF4-FFF2-40B4-BE49-F238E27FC236}">
              <a16:creationId xmlns:a16="http://schemas.microsoft.com/office/drawing/2014/main" id="{00000000-0008-0000-0100-00001F05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143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66848" name="Picture 4">
          <a:extLst>
            <a:ext uri="{FF2B5EF4-FFF2-40B4-BE49-F238E27FC236}">
              <a16:creationId xmlns:a16="http://schemas.microsoft.com/office/drawing/2014/main" id="{00000000-0008-0000-0100-00002005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143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66849" name="Picture 5">
          <a:extLst>
            <a:ext uri="{FF2B5EF4-FFF2-40B4-BE49-F238E27FC236}">
              <a16:creationId xmlns:a16="http://schemas.microsoft.com/office/drawing/2014/main" id="{00000000-0008-0000-0100-00002105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143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0</xdr:row>
      <xdr:rowOff>57150</xdr:rowOff>
    </xdr:from>
    <xdr:to>
      <xdr:col>2</xdr:col>
      <xdr:colOff>674233</xdr:colOff>
      <xdr:row>2</xdr:row>
      <xdr:rowOff>325891</xdr:rowOff>
    </xdr:to>
    <xdr:pic>
      <xdr:nvPicPr>
        <xdr:cNvPr id="66850" name="Resim 7">
          <a:extLst>
            <a:ext uri="{FF2B5EF4-FFF2-40B4-BE49-F238E27FC236}">
              <a16:creationId xmlns:a16="http://schemas.microsoft.com/office/drawing/2014/main" id="{00000000-0008-0000-0100-00002205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609600"/>
          <a:ext cx="123825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30507</xdr:colOff>
      <xdr:row>0</xdr:row>
      <xdr:rowOff>57149</xdr:rowOff>
    </xdr:from>
    <xdr:to>
      <xdr:col>2</xdr:col>
      <xdr:colOff>691242</xdr:colOff>
      <xdr:row>2</xdr:row>
      <xdr:rowOff>357187</xdr:rowOff>
    </xdr:to>
    <xdr:pic>
      <xdr:nvPicPr>
        <xdr:cNvPr id="66851" name="Resim 7">
          <a:extLst>
            <a:ext uri="{FF2B5EF4-FFF2-40B4-BE49-F238E27FC236}">
              <a16:creationId xmlns:a16="http://schemas.microsoft.com/office/drawing/2014/main" id="{00000000-0008-0000-0100-00002305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775" y="57149"/>
          <a:ext cx="1273057" cy="11674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67714" name="Picture 1">
          <a:extLst>
            <a:ext uri="{FF2B5EF4-FFF2-40B4-BE49-F238E27FC236}">
              <a16:creationId xmlns:a16="http://schemas.microsoft.com/office/drawing/2014/main" id="{00000000-0008-0000-0200-0000820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657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67715" name="Picture 2">
          <a:extLst>
            <a:ext uri="{FF2B5EF4-FFF2-40B4-BE49-F238E27FC236}">
              <a16:creationId xmlns:a16="http://schemas.microsoft.com/office/drawing/2014/main" id="{00000000-0008-0000-0200-0000830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657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67716" name="Picture 4">
          <a:extLst>
            <a:ext uri="{FF2B5EF4-FFF2-40B4-BE49-F238E27FC236}">
              <a16:creationId xmlns:a16="http://schemas.microsoft.com/office/drawing/2014/main" id="{00000000-0008-0000-0200-0000840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657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67717" name="Picture 5">
          <a:extLst>
            <a:ext uri="{FF2B5EF4-FFF2-40B4-BE49-F238E27FC236}">
              <a16:creationId xmlns:a16="http://schemas.microsoft.com/office/drawing/2014/main" id="{00000000-0008-0000-0200-0000850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657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247650</xdr:colOff>
      <xdr:row>1</xdr:row>
      <xdr:rowOff>57150</xdr:rowOff>
    </xdr:from>
    <xdr:to>
      <xdr:col>1</xdr:col>
      <xdr:colOff>981075</xdr:colOff>
      <xdr:row>3</xdr:row>
      <xdr:rowOff>344941</xdr:rowOff>
    </xdr:to>
    <xdr:pic>
      <xdr:nvPicPr>
        <xdr:cNvPr id="67718" name="Resim 7">
          <a:extLst>
            <a:ext uri="{FF2B5EF4-FFF2-40B4-BE49-F238E27FC236}">
              <a16:creationId xmlns:a16="http://schemas.microsoft.com/office/drawing/2014/main" id="{00000000-0008-0000-0200-0000860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085850"/>
          <a:ext cx="123825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68738" name="Picture 1">
          <a:extLst>
            <a:ext uri="{FF2B5EF4-FFF2-40B4-BE49-F238E27FC236}">
              <a16:creationId xmlns:a16="http://schemas.microsoft.com/office/drawing/2014/main" id="{00000000-0008-0000-0300-0000820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143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68739" name="Picture 2">
          <a:extLst>
            <a:ext uri="{FF2B5EF4-FFF2-40B4-BE49-F238E27FC236}">
              <a16:creationId xmlns:a16="http://schemas.microsoft.com/office/drawing/2014/main" id="{00000000-0008-0000-0300-0000830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143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68740" name="Picture 4">
          <a:extLst>
            <a:ext uri="{FF2B5EF4-FFF2-40B4-BE49-F238E27FC236}">
              <a16:creationId xmlns:a16="http://schemas.microsoft.com/office/drawing/2014/main" id="{00000000-0008-0000-0300-0000840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143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68741" name="Picture 5">
          <a:extLst>
            <a:ext uri="{FF2B5EF4-FFF2-40B4-BE49-F238E27FC236}">
              <a16:creationId xmlns:a16="http://schemas.microsoft.com/office/drawing/2014/main" id="{00000000-0008-0000-0300-0000850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143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94570</xdr:colOff>
      <xdr:row>1</xdr:row>
      <xdr:rowOff>74159</xdr:rowOff>
    </xdr:from>
    <xdr:to>
      <xdr:col>1</xdr:col>
      <xdr:colOff>827995</xdr:colOff>
      <xdr:row>3</xdr:row>
      <xdr:rowOff>361950</xdr:rowOff>
    </xdr:to>
    <xdr:pic>
      <xdr:nvPicPr>
        <xdr:cNvPr id="9" name="Resim 7">
          <a:extLst>
            <a:ext uri="{FF2B5EF4-FFF2-40B4-BE49-F238E27FC236}">
              <a16:creationId xmlns:a16="http://schemas.microsoft.com/office/drawing/2014/main" id="{476631B3-B468-4FBD-94CA-E791B4925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70" y="618445"/>
          <a:ext cx="1243693" cy="11382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69762" name="Picture 1">
          <a:extLst>
            <a:ext uri="{FF2B5EF4-FFF2-40B4-BE49-F238E27FC236}">
              <a16:creationId xmlns:a16="http://schemas.microsoft.com/office/drawing/2014/main" id="{00000000-0008-0000-0400-0000821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143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69763" name="Picture 2">
          <a:extLst>
            <a:ext uri="{FF2B5EF4-FFF2-40B4-BE49-F238E27FC236}">
              <a16:creationId xmlns:a16="http://schemas.microsoft.com/office/drawing/2014/main" id="{00000000-0008-0000-0400-0000831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143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69764" name="Picture 4">
          <a:extLst>
            <a:ext uri="{FF2B5EF4-FFF2-40B4-BE49-F238E27FC236}">
              <a16:creationId xmlns:a16="http://schemas.microsoft.com/office/drawing/2014/main" id="{00000000-0008-0000-0400-0000841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143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69765" name="Picture 5">
          <a:extLst>
            <a:ext uri="{FF2B5EF4-FFF2-40B4-BE49-F238E27FC236}">
              <a16:creationId xmlns:a16="http://schemas.microsoft.com/office/drawing/2014/main" id="{00000000-0008-0000-0400-0000851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143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94570</xdr:colOff>
      <xdr:row>1</xdr:row>
      <xdr:rowOff>74159</xdr:rowOff>
    </xdr:from>
    <xdr:to>
      <xdr:col>1</xdr:col>
      <xdr:colOff>827995</xdr:colOff>
      <xdr:row>3</xdr:row>
      <xdr:rowOff>361950</xdr:rowOff>
    </xdr:to>
    <xdr:pic>
      <xdr:nvPicPr>
        <xdr:cNvPr id="9" name="Resim 7">
          <a:extLst>
            <a:ext uri="{FF2B5EF4-FFF2-40B4-BE49-F238E27FC236}">
              <a16:creationId xmlns:a16="http://schemas.microsoft.com/office/drawing/2014/main" id="{27729E86-3601-4B3B-BE1F-8A5E2E14D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70" y="626609"/>
          <a:ext cx="1238250" cy="11450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70786" name="Picture 1">
          <a:extLst>
            <a:ext uri="{FF2B5EF4-FFF2-40B4-BE49-F238E27FC236}">
              <a16:creationId xmlns:a16="http://schemas.microsoft.com/office/drawing/2014/main" id="{00000000-0008-0000-0500-0000821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276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70787" name="Picture 2">
          <a:extLst>
            <a:ext uri="{FF2B5EF4-FFF2-40B4-BE49-F238E27FC236}">
              <a16:creationId xmlns:a16="http://schemas.microsoft.com/office/drawing/2014/main" id="{00000000-0008-0000-0500-0000831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276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70788" name="Picture 4">
          <a:extLst>
            <a:ext uri="{FF2B5EF4-FFF2-40B4-BE49-F238E27FC236}">
              <a16:creationId xmlns:a16="http://schemas.microsoft.com/office/drawing/2014/main" id="{00000000-0008-0000-0500-0000841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276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70789" name="Picture 5">
          <a:extLst>
            <a:ext uri="{FF2B5EF4-FFF2-40B4-BE49-F238E27FC236}">
              <a16:creationId xmlns:a16="http://schemas.microsoft.com/office/drawing/2014/main" id="{00000000-0008-0000-0500-0000851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276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149678</xdr:colOff>
      <xdr:row>1</xdr:row>
      <xdr:rowOff>57150</xdr:rowOff>
    </xdr:from>
    <xdr:to>
      <xdr:col>1</xdr:col>
      <xdr:colOff>878341</xdr:colOff>
      <xdr:row>3</xdr:row>
      <xdr:rowOff>442232</xdr:rowOff>
    </xdr:to>
    <xdr:pic>
      <xdr:nvPicPr>
        <xdr:cNvPr id="70790" name="Resim 7">
          <a:extLst>
            <a:ext uri="{FF2B5EF4-FFF2-40B4-BE49-F238E27FC236}">
              <a16:creationId xmlns:a16="http://schemas.microsoft.com/office/drawing/2014/main" id="{00000000-0008-0000-0500-00008614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678" y="601436"/>
          <a:ext cx="1238931" cy="12355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71810" name="Picture 1">
          <a:extLst>
            <a:ext uri="{FF2B5EF4-FFF2-40B4-BE49-F238E27FC236}">
              <a16:creationId xmlns:a16="http://schemas.microsoft.com/office/drawing/2014/main" id="{00000000-0008-0000-0600-0000821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143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71811" name="Picture 2">
          <a:extLst>
            <a:ext uri="{FF2B5EF4-FFF2-40B4-BE49-F238E27FC236}">
              <a16:creationId xmlns:a16="http://schemas.microsoft.com/office/drawing/2014/main" id="{00000000-0008-0000-0600-0000831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143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71812" name="Picture 4">
          <a:extLst>
            <a:ext uri="{FF2B5EF4-FFF2-40B4-BE49-F238E27FC236}">
              <a16:creationId xmlns:a16="http://schemas.microsoft.com/office/drawing/2014/main" id="{00000000-0008-0000-0600-0000841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143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71813" name="Picture 5">
          <a:extLst>
            <a:ext uri="{FF2B5EF4-FFF2-40B4-BE49-F238E27FC236}">
              <a16:creationId xmlns:a16="http://schemas.microsoft.com/office/drawing/2014/main" id="{00000000-0008-0000-0600-0000851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143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132670</xdr:colOff>
      <xdr:row>1</xdr:row>
      <xdr:rowOff>108177</xdr:rowOff>
    </xdr:from>
    <xdr:to>
      <xdr:col>1</xdr:col>
      <xdr:colOff>861332</xdr:colOff>
      <xdr:row>3</xdr:row>
      <xdr:rowOff>323170</xdr:rowOff>
    </xdr:to>
    <xdr:pic>
      <xdr:nvPicPr>
        <xdr:cNvPr id="71814" name="Resim 7">
          <a:extLst>
            <a:ext uri="{FF2B5EF4-FFF2-40B4-BE49-F238E27FC236}">
              <a16:creationId xmlns:a16="http://schemas.microsoft.com/office/drawing/2014/main" id="{00000000-0008-0000-0600-00008618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70" y="652463"/>
          <a:ext cx="1238930" cy="10654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149678</xdr:colOff>
      <xdr:row>1</xdr:row>
      <xdr:rowOff>57150</xdr:rowOff>
    </xdr:from>
    <xdr:to>
      <xdr:col>1</xdr:col>
      <xdr:colOff>878341</xdr:colOff>
      <xdr:row>3</xdr:row>
      <xdr:rowOff>442232</xdr:rowOff>
    </xdr:to>
    <xdr:pic>
      <xdr:nvPicPr>
        <xdr:cNvPr id="9" name="Resim 7">
          <a:extLst>
            <a:ext uri="{FF2B5EF4-FFF2-40B4-BE49-F238E27FC236}">
              <a16:creationId xmlns:a16="http://schemas.microsoft.com/office/drawing/2014/main" id="{1BE47FB7-9D4C-4883-BC10-D90DD1958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678" y="609600"/>
          <a:ext cx="1233488" cy="12423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72834" name="Picture 1">
          <a:extLst>
            <a:ext uri="{FF2B5EF4-FFF2-40B4-BE49-F238E27FC236}">
              <a16:creationId xmlns:a16="http://schemas.microsoft.com/office/drawing/2014/main" id="{00000000-0008-0000-0700-0000821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143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72835" name="Picture 2">
          <a:extLst>
            <a:ext uri="{FF2B5EF4-FFF2-40B4-BE49-F238E27FC236}">
              <a16:creationId xmlns:a16="http://schemas.microsoft.com/office/drawing/2014/main" id="{00000000-0008-0000-0700-0000831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143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72836" name="Picture 4">
          <a:extLst>
            <a:ext uri="{FF2B5EF4-FFF2-40B4-BE49-F238E27FC236}">
              <a16:creationId xmlns:a16="http://schemas.microsoft.com/office/drawing/2014/main" id="{00000000-0008-0000-0700-0000841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143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72837" name="Picture 5">
          <a:extLst>
            <a:ext uri="{FF2B5EF4-FFF2-40B4-BE49-F238E27FC236}">
              <a16:creationId xmlns:a16="http://schemas.microsoft.com/office/drawing/2014/main" id="{00000000-0008-0000-0700-0000851C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143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149678</xdr:colOff>
      <xdr:row>1</xdr:row>
      <xdr:rowOff>57150</xdr:rowOff>
    </xdr:from>
    <xdr:to>
      <xdr:col>1</xdr:col>
      <xdr:colOff>878341</xdr:colOff>
      <xdr:row>3</xdr:row>
      <xdr:rowOff>442232</xdr:rowOff>
    </xdr:to>
    <xdr:pic>
      <xdr:nvPicPr>
        <xdr:cNvPr id="9" name="Resim 7">
          <a:extLst>
            <a:ext uri="{FF2B5EF4-FFF2-40B4-BE49-F238E27FC236}">
              <a16:creationId xmlns:a16="http://schemas.microsoft.com/office/drawing/2014/main" id="{1A5DF1F3-91C7-41B0-840E-5FCF8164A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678" y="609600"/>
          <a:ext cx="1233488" cy="12423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73858" name="Picture 1">
          <a:extLst>
            <a:ext uri="{FF2B5EF4-FFF2-40B4-BE49-F238E27FC236}">
              <a16:creationId xmlns:a16="http://schemas.microsoft.com/office/drawing/2014/main" id="{00000000-0008-0000-0800-0000822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143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73859" name="Picture 2">
          <a:extLst>
            <a:ext uri="{FF2B5EF4-FFF2-40B4-BE49-F238E27FC236}">
              <a16:creationId xmlns:a16="http://schemas.microsoft.com/office/drawing/2014/main" id="{00000000-0008-0000-0800-0000832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143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73860" name="Picture 4">
          <a:extLst>
            <a:ext uri="{FF2B5EF4-FFF2-40B4-BE49-F238E27FC236}">
              <a16:creationId xmlns:a16="http://schemas.microsoft.com/office/drawing/2014/main" id="{00000000-0008-0000-0800-0000842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143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73861" name="Picture 5">
          <a:extLst>
            <a:ext uri="{FF2B5EF4-FFF2-40B4-BE49-F238E27FC236}">
              <a16:creationId xmlns:a16="http://schemas.microsoft.com/office/drawing/2014/main" id="{00000000-0008-0000-0800-0000852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143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149678</xdr:colOff>
      <xdr:row>1</xdr:row>
      <xdr:rowOff>57150</xdr:rowOff>
    </xdr:from>
    <xdr:to>
      <xdr:col>1</xdr:col>
      <xdr:colOff>878341</xdr:colOff>
      <xdr:row>3</xdr:row>
      <xdr:rowOff>442232</xdr:rowOff>
    </xdr:to>
    <xdr:pic>
      <xdr:nvPicPr>
        <xdr:cNvPr id="9" name="Resim 7">
          <a:extLst>
            <a:ext uri="{FF2B5EF4-FFF2-40B4-BE49-F238E27FC236}">
              <a16:creationId xmlns:a16="http://schemas.microsoft.com/office/drawing/2014/main" id="{E620DE23-D2A2-4378-93E0-825FB99E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678" y="609600"/>
          <a:ext cx="1233488" cy="12423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152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152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152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152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1226003</xdr:colOff>
      <xdr:row>11</xdr:row>
      <xdr:rowOff>493258</xdr:rowOff>
    </xdr:from>
    <xdr:to>
      <xdr:col>19</xdr:col>
      <xdr:colOff>112939</xdr:colOff>
      <xdr:row>11</xdr:row>
      <xdr:rowOff>493258</xdr:rowOff>
    </xdr:to>
    <xdr:pic>
      <xdr:nvPicPr>
        <xdr:cNvPr id="16" name="Picture 5">
          <a:extLst>
            <a:ext uri="{FF2B5EF4-FFF2-40B4-BE49-F238E27FC236}">
              <a16:creationId xmlns:a16="http://schemas.microsoft.com/office/drawing/2014/main" id="{DDA2C285-5B6D-4339-856C-545283BFF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51228" y="7970383"/>
          <a:ext cx="1506311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1226003</xdr:colOff>
      <xdr:row>11</xdr:row>
      <xdr:rowOff>493258</xdr:rowOff>
    </xdr:from>
    <xdr:to>
      <xdr:col>19</xdr:col>
      <xdr:colOff>112939</xdr:colOff>
      <xdr:row>11</xdr:row>
      <xdr:rowOff>493258</xdr:rowOff>
    </xdr:to>
    <xdr:pic>
      <xdr:nvPicPr>
        <xdr:cNvPr id="8" name="Picture 5">
          <a:extLst>
            <a:ext uri="{FF2B5EF4-FFF2-40B4-BE49-F238E27FC236}">
              <a16:creationId xmlns:a16="http://schemas.microsoft.com/office/drawing/2014/main" id="{907B1FE2-5E0C-4544-8CE3-FC8867638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9778" y="5703433"/>
          <a:ext cx="1506311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149678</xdr:colOff>
      <xdr:row>1</xdr:row>
      <xdr:rowOff>57150</xdr:rowOff>
    </xdr:from>
    <xdr:to>
      <xdr:col>1</xdr:col>
      <xdr:colOff>878341</xdr:colOff>
      <xdr:row>3</xdr:row>
      <xdr:rowOff>442232</xdr:rowOff>
    </xdr:to>
    <xdr:pic>
      <xdr:nvPicPr>
        <xdr:cNvPr id="12" name="Resim 7">
          <a:extLst>
            <a:ext uri="{FF2B5EF4-FFF2-40B4-BE49-F238E27FC236}">
              <a16:creationId xmlns:a16="http://schemas.microsoft.com/office/drawing/2014/main" id="{3A4E7AF2-171F-44A4-88E6-B4A765C39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678" y="609600"/>
          <a:ext cx="1233488" cy="12423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152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152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152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152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149678</xdr:colOff>
      <xdr:row>1</xdr:row>
      <xdr:rowOff>57150</xdr:rowOff>
    </xdr:from>
    <xdr:to>
      <xdr:col>1</xdr:col>
      <xdr:colOff>703716</xdr:colOff>
      <xdr:row>4</xdr:row>
      <xdr:rowOff>283482</xdr:rowOff>
    </xdr:to>
    <xdr:pic>
      <xdr:nvPicPr>
        <xdr:cNvPr id="9" name="Resim 7">
          <a:extLst>
            <a:ext uri="{FF2B5EF4-FFF2-40B4-BE49-F238E27FC236}">
              <a16:creationId xmlns:a16="http://schemas.microsoft.com/office/drawing/2014/main" id="{651D8C97-5A5C-429D-B3BD-0C2D463EC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678" y="609600"/>
          <a:ext cx="1233488" cy="12423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152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152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171450</xdr:colOff>
      <xdr:row>0</xdr:row>
      <xdr:rowOff>0</xdr:rowOff>
    </xdr:from>
    <xdr:to>
      <xdr:col>2</xdr:col>
      <xdr:colOff>180975</xdr:colOff>
      <xdr:row>0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1152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1226003</xdr:colOff>
      <xdr:row>11</xdr:row>
      <xdr:rowOff>493258</xdr:rowOff>
    </xdr:from>
    <xdr:to>
      <xdr:col>19</xdr:col>
      <xdr:colOff>112939</xdr:colOff>
      <xdr:row>11</xdr:row>
      <xdr:rowOff>493258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36941" y="7960178"/>
          <a:ext cx="1506311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149678</xdr:colOff>
      <xdr:row>1</xdr:row>
      <xdr:rowOff>57150</xdr:rowOff>
    </xdr:from>
    <xdr:to>
      <xdr:col>1</xdr:col>
      <xdr:colOff>759279</xdr:colOff>
      <xdr:row>3</xdr:row>
      <xdr:rowOff>775607</xdr:rowOff>
    </xdr:to>
    <xdr:pic>
      <xdr:nvPicPr>
        <xdr:cNvPr id="9" name="Resim 7">
          <a:extLst>
            <a:ext uri="{FF2B5EF4-FFF2-40B4-BE49-F238E27FC236}">
              <a16:creationId xmlns:a16="http://schemas.microsoft.com/office/drawing/2014/main" id="{705F5841-73C6-4293-B0F5-906374DB1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678" y="609600"/>
          <a:ext cx="1233488" cy="12423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1"/>
  <sheetViews>
    <sheetView view="pageBreakPreview" topLeftCell="A4" zoomScale="55" zoomScaleNormal="56" zoomScaleSheetLayoutView="55" workbookViewId="0">
      <selection activeCell="Q9" sqref="Q9"/>
    </sheetView>
  </sheetViews>
  <sheetFormatPr defaultRowHeight="12.75" x14ac:dyDescent="0.2"/>
  <cols>
    <col min="1" max="1" width="7.5703125" customWidth="1"/>
    <col min="2" max="2" width="9.42578125" style="1" customWidth="1"/>
    <col min="3" max="3" width="14.85546875" style="1" customWidth="1"/>
    <col min="4" max="4" width="10.85546875" style="1" customWidth="1"/>
    <col min="5" max="5" width="17.7109375" style="1" customWidth="1"/>
    <col min="6" max="6" width="15.5703125" style="1" customWidth="1"/>
    <col min="7" max="7" width="8.5703125" style="1" hidden="1" customWidth="1"/>
    <col min="8" max="8" width="10.28515625" style="1" hidden="1" customWidth="1"/>
    <col min="9" max="9" width="5.140625" style="1" customWidth="1"/>
    <col min="10" max="10" width="5.5703125" style="1" customWidth="1"/>
    <col min="11" max="11" width="5" style="1" customWidth="1"/>
    <col min="12" max="12" width="13" style="1" customWidth="1"/>
    <col min="13" max="13" width="8.42578125" style="1" customWidth="1"/>
    <col min="14" max="14" width="8" style="1" customWidth="1"/>
    <col min="15" max="15" width="10.28515625" style="1" customWidth="1"/>
    <col min="16" max="16" width="20" style="1" customWidth="1"/>
    <col min="17" max="17" width="19.7109375" style="1" customWidth="1"/>
    <col min="18" max="19" width="19" style="1" customWidth="1"/>
    <col min="20" max="20" width="17" style="1" customWidth="1"/>
    <col min="21" max="21" width="14.85546875" style="1" customWidth="1"/>
    <col min="22" max="22" width="17" style="1" customWidth="1"/>
    <col min="23" max="23" width="21.140625" style="1" customWidth="1"/>
    <col min="24" max="24" width="29.7109375" style="1" customWidth="1"/>
    <col min="25" max="25" width="21.42578125" style="1" customWidth="1"/>
    <col min="26" max="26" width="25.42578125" style="1" customWidth="1"/>
  </cols>
  <sheetData>
    <row r="1" spans="1:32" ht="37.5" customHeight="1" x14ac:dyDescent="0.4">
      <c r="A1" s="134" t="s">
        <v>10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6"/>
    </row>
    <row r="2" spans="1:32" ht="30" customHeight="1" x14ac:dyDescent="0.2">
      <c r="A2" s="137" t="s">
        <v>93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9"/>
    </row>
    <row r="3" spans="1:32" ht="36" customHeight="1" x14ac:dyDescent="0.2">
      <c r="A3" s="137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9"/>
    </row>
    <row r="4" spans="1:32" s="3" customFormat="1" ht="42.75" customHeight="1" thickBot="1" x14ac:dyDescent="0.35">
      <c r="A4" s="137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9"/>
    </row>
    <row r="5" spans="1:32" s="3" customFormat="1" ht="114" customHeight="1" thickBot="1" x14ac:dyDescent="0.35">
      <c r="A5" s="140" t="s">
        <v>9</v>
      </c>
      <c r="B5" s="141" t="s">
        <v>1</v>
      </c>
      <c r="C5" s="141" t="s">
        <v>2</v>
      </c>
      <c r="D5" s="141" t="s">
        <v>15</v>
      </c>
      <c r="E5" s="142" t="s">
        <v>5</v>
      </c>
      <c r="F5" s="142"/>
      <c r="G5" s="142"/>
      <c r="H5" s="142"/>
      <c r="I5" s="141" t="s">
        <v>16</v>
      </c>
      <c r="J5" s="141"/>
      <c r="K5" s="141"/>
      <c r="L5" s="141"/>
      <c r="M5" s="141" t="s">
        <v>3</v>
      </c>
      <c r="N5" s="141"/>
      <c r="O5" s="141"/>
      <c r="P5" s="141" t="s">
        <v>17</v>
      </c>
      <c r="Q5" s="141" t="s">
        <v>22</v>
      </c>
      <c r="R5" s="143" t="s">
        <v>75</v>
      </c>
      <c r="S5" s="141" t="s">
        <v>26</v>
      </c>
      <c r="T5" s="141" t="s">
        <v>27</v>
      </c>
      <c r="U5" s="141" t="s">
        <v>31</v>
      </c>
      <c r="V5" s="141" t="s">
        <v>18</v>
      </c>
      <c r="W5" s="141" t="s">
        <v>0</v>
      </c>
      <c r="X5" s="141" t="s">
        <v>8</v>
      </c>
      <c r="Y5" s="141" t="s">
        <v>7</v>
      </c>
      <c r="Z5" s="141" t="s">
        <v>4</v>
      </c>
      <c r="AA5" s="4"/>
      <c r="AB5" s="4"/>
      <c r="AC5" s="4"/>
      <c r="AD5" s="4"/>
      <c r="AE5" s="4"/>
      <c r="AF5" s="4"/>
    </row>
    <row r="6" spans="1:32" s="3" customFormat="1" ht="39" customHeight="1" thickBot="1" x14ac:dyDescent="0.35">
      <c r="A6" s="140"/>
      <c r="B6" s="141"/>
      <c r="C6" s="141"/>
      <c r="D6" s="141"/>
      <c r="E6" s="142"/>
      <c r="F6" s="142"/>
      <c r="G6" s="142"/>
      <c r="H6" s="142"/>
      <c r="I6" s="141"/>
      <c r="J6" s="141"/>
      <c r="K6" s="141"/>
      <c r="L6" s="141"/>
      <c r="M6" s="141"/>
      <c r="N6" s="141"/>
      <c r="O6" s="141"/>
      <c r="P6" s="141"/>
      <c r="Q6" s="141"/>
      <c r="R6" s="143"/>
      <c r="S6" s="141"/>
      <c r="T6" s="141"/>
      <c r="U6" s="141"/>
      <c r="V6" s="141"/>
      <c r="W6" s="141"/>
      <c r="X6" s="141"/>
      <c r="Y6" s="141"/>
      <c r="Z6" s="141"/>
      <c r="AA6" s="4"/>
      <c r="AB6" s="4"/>
      <c r="AC6" s="4"/>
      <c r="AD6" s="4"/>
      <c r="AE6" s="4"/>
      <c r="AF6" s="4"/>
    </row>
    <row r="7" spans="1:32" ht="63" customHeight="1" thickBot="1" x14ac:dyDescent="0.35">
      <c r="A7" s="48"/>
      <c r="B7" s="26"/>
      <c r="C7" s="26"/>
      <c r="D7" s="26"/>
      <c r="E7" s="147"/>
      <c r="F7" s="148"/>
      <c r="G7" s="27"/>
      <c r="H7" s="27"/>
      <c r="I7" s="144"/>
      <c r="J7" s="145"/>
      <c r="K7" s="145"/>
      <c r="L7" s="146"/>
      <c r="M7" s="144"/>
      <c r="N7" s="145"/>
      <c r="O7" s="146"/>
      <c r="P7" s="26"/>
      <c r="Q7" s="26" t="s">
        <v>19</v>
      </c>
      <c r="R7" s="26" t="s">
        <v>20</v>
      </c>
      <c r="S7" s="26" t="s">
        <v>21</v>
      </c>
      <c r="T7" s="26" t="s">
        <v>24</v>
      </c>
      <c r="U7" s="26" t="s">
        <v>23</v>
      </c>
      <c r="V7" s="26"/>
      <c r="W7" s="26" t="s">
        <v>25</v>
      </c>
      <c r="X7" s="26"/>
      <c r="Y7" s="26"/>
      <c r="Z7" s="26"/>
    </row>
    <row r="8" spans="1:32" ht="63.75" customHeight="1" thickBot="1" x14ac:dyDescent="0.35">
      <c r="A8" s="28">
        <v>1</v>
      </c>
      <c r="B8" s="29">
        <v>1</v>
      </c>
      <c r="C8" s="35"/>
      <c r="D8" s="47"/>
      <c r="E8" s="125"/>
      <c r="F8" s="125"/>
      <c r="G8" s="44"/>
      <c r="H8" s="44"/>
      <c r="I8" s="126"/>
      <c r="J8" s="126"/>
      <c r="K8" s="126"/>
      <c r="L8" s="126"/>
      <c r="M8" s="126"/>
      <c r="N8" s="126"/>
      <c r="O8" s="126"/>
      <c r="P8" s="40"/>
      <c r="Q8" s="36"/>
      <c r="R8" s="49">
        <f>PRODUCT(Q8*0.2)</f>
        <v>0</v>
      </c>
      <c r="S8" s="31">
        <f>SUM(Q8+R8)</f>
        <v>0</v>
      </c>
      <c r="T8" s="32"/>
      <c r="U8" s="31"/>
      <c r="V8" s="31">
        <f>PRODUCT(Q8*0.00948)</f>
        <v>0</v>
      </c>
      <c r="W8" s="36">
        <f>SUM(V8+Q8+R8)</f>
        <v>0</v>
      </c>
      <c r="X8" s="40"/>
      <c r="Y8" s="40"/>
      <c r="Z8" s="38"/>
    </row>
    <row r="9" spans="1:32" ht="58.5" customHeight="1" thickBot="1" x14ac:dyDescent="0.25">
      <c r="A9" s="28">
        <v>2</v>
      </c>
      <c r="B9" s="29">
        <v>2</v>
      </c>
      <c r="C9" s="35"/>
      <c r="D9" s="62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40"/>
      <c r="Q9" s="36"/>
      <c r="R9" s="49">
        <f t="shared" ref="R9:R32" si="0">PRODUCT(Q9*0.2)</f>
        <v>0</v>
      </c>
      <c r="S9" s="31">
        <f>SUM(Q9+R9)</f>
        <v>0</v>
      </c>
      <c r="T9" s="32"/>
      <c r="U9" s="31"/>
      <c r="V9" s="31">
        <f t="shared" ref="V9:V32" si="1">PRODUCT(Q9*0.00948)</f>
        <v>0</v>
      </c>
      <c r="W9" s="36">
        <f t="shared" ref="W9:W32" si="2">SUM(V9+Q9+R9)</f>
        <v>0</v>
      </c>
      <c r="X9" s="40"/>
      <c r="Y9" s="40"/>
      <c r="Z9" s="38"/>
    </row>
    <row r="10" spans="1:32" ht="71.25" customHeight="1" thickBot="1" x14ac:dyDescent="0.25">
      <c r="A10" s="28">
        <v>3</v>
      </c>
      <c r="B10" s="29">
        <v>3</v>
      </c>
      <c r="C10" s="35"/>
      <c r="D10" s="62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40"/>
      <c r="Q10" s="36"/>
      <c r="R10" s="49">
        <f t="shared" si="0"/>
        <v>0</v>
      </c>
      <c r="S10" s="31">
        <f t="shared" ref="S10:S32" si="3">SUM(Q10+R10)</f>
        <v>0</v>
      </c>
      <c r="T10" s="32"/>
      <c r="U10" s="31"/>
      <c r="V10" s="31">
        <f t="shared" si="1"/>
        <v>0</v>
      </c>
      <c r="W10" s="36">
        <f t="shared" si="2"/>
        <v>0</v>
      </c>
      <c r="X10" s="40"/>
      <c r="Y10" s="40"/>
      <c r="Z10" s="38"/>
    </row>
    <row r="11" spans="1:32" ht="74.25" customHeight="1" thickBot="1" x14ac:dyDescent="0.35">
      <c r="A11" s="28">
        <v>4</v>
      </c>
      <c r="B11" s="29">
        <v>4</v>
      </c>
      <c r="C11" s="35"/>
      <c r="D11" s="62"/>
      <c r="E11" s="125"/>
      <c r="F11" s="129"/>
      <c r="G11" s="44"/>
      <c r="H11" s="44"/>
      <c r="I11" s="126"/>
      <c r="J11" s="126"/>
      <c r="K11" s="126"/>
      <c r="L11" s="126"/>
      <c r="M11" s="130"/>
      <c r="N11" s="130"/>
      <c r="O11" s="130"/>
      <c r="P11" s="40"/>
      <c r="Q11" s="36"/>
      <c r="R11" s="49">
        <f>PRODUCT(Q11*0.2)</f>
        <v>0</v>
      </c>
      <c r="S11" s="31">
        <f t="shared" si="3"/>
        <v>0</v>
      </c>
      <c r="T11" s="32"/>
      <c r="U11" s="31"/>
      <c r="V11" s="31">
        <f t="shared" si="1"/>
        <v>0</v>
      </c>
      <c r="W11" s="36">
        <f t="shared" si="2"/>
        <v>0</v>
      </c>
      <c r="X11" s="40"/>
      <c r="Y11" s="40"/>
      <c r="Z11" s="38"/>
    </row>
    <row r="12" spans="1:32" ht="71.25" customHeight="1" thickBot="1" x14ac:dyDescent="0.35">
      <c r="A12" s="28">
        <v>5</v>
      </c>
      <c r="B12" s="29">
        <v>5</v>
      </c>
      <c r="C12" s="35"/>
      <c r="D12" s="62"/>
      <c r="E12" s="125"/>
      <c r="F12" s="125"/>
      <c r="G12" s="44"/>
      <c r="H12" s="44"/>
      <c r="I12" s="126"/>
      <c r="J12" s="126"/>
      <c r="K12" s="126"/>
      <c r="L12" s="126"/>
      <c r="M12" s="126"/>
      <c r="N12" s="126"/>
      <c r="O12" s="126"/>
      <c r="P12" s="40"/>
      <c r="Q12" s="36"/>
      <c r="R12" s="49">
        <f t="shared" si="0"/>
        <v>0</v>
      </c>
      <c r="S12" s="31">
        <f t="shared" si="3"/>
        <v>0</v>
      </c>
      <c r="T12" s="32"/>
      <c r="U12" s="31"/>
      <c r="V12" s="31">
        <f t="shared" si="1"/>
        <v>0</v>
      </c>
      <c r="W12" s="36">
        <f t="shared" si="2"/>
        <v>0</v>
      </c>
      <c r="X12" s="40"/>
      <c r="Y12" s="40"/>
      <c r="Z12" s="38"/>
    </row>
    <row r="13" spans="1:32" ht="72.75" customHeight="1" thickBot="1" x14ac:dyDescent="0.35">
      <c r="A13" s="28">
        <v>6</v>
      </c>
      <c r="B13" s="29">
        <v>6</v>
      </c>
      <c r="C13" s="35"/>
      <c r="D13" s="62"/>
      <c r="E13" s="127"/>
      <c r="F13" s="128"/>
      <c r="G13" s="44"/>
      <c r="H13" s="44"/>
      <c r="I13" s="131"/>
      <c r="J13" s="132"/>
      <c r="K13" s="132"/>
      <c r="L13" s="133"/>
      <c r="M13" s="131"/>
      <c r="N13" s="132"/>
      <c r="O13" s="133"/>
      <c r="P13" s="40"/>
      <c r="Q13" s="36"/>
      <c r="R13" s="49">
        <f t="shared" si="0"/>
        <v>0</v>
      </c>
      <c r="S13" s="31">
        <f t="shared" si="3"/>
        <v>0</v>
      </c>
      <c r="T13" s="32"/>
      <c r="U13" s="31"/>
      <c r="V13" s="31">
        <f t="shared" si="1"/>
        <v>0</v>
      </c>
      <c r="W13" s="36">
        <f t="shared" si="2"/>
        <v>0</v>
      </c>
      <c r="X13" s="40"/>
      <c r="Y13" s="40"/>
      <c r="Z13" s="38"/>
    </row>
    <row r="14" spans="1:32" ht="72.75" customHeight="1" thickBot="1" x14ac:dyDescent="0.35">
      <c r="A14" s="28">
        <v>7</v>
      </c>
      <c r="B14" s="29">
        <v>7</v>
      </c>
      <c r="C14" s="35"/>
      <c r="D14" s="62"/>
      <c r="E14" s="127"/>
      <c r="F14" s="128"/>
      <c r="G14" s="44"/>
      <c r="H14" s="44"/>
      <c r="I14" s="131"/>
      <c r="J14" s="132"/>
      <c r="K14" s="132"/>
      <c r="L14" s="133"/>
      <c r="M14" s="131"/>
      <c r="N14" s="132"/>
      <c r="O14" s="133"/>
      <c r="P14" s="40"/>
      <c r="Q14" s="36"/>
      <c r="R14" s="49">
        <f t="shared" si="0"/>
        <v>0</v>
      </c>
      <c r="S14" s="31">
        <f t="shared" si="3"/>
        <v>0</v>
      </c>
      <c r="T14" s="32"/>
      <c r="U14" s="31"/>
      <c r="V14" s="31">
        <f t="shared" si="1"/>
        <v>0</v>
      </c>
      <c r="W14" s="36">
        <f t="shared" si="2"/>
        <v>0</v>
      </c>
      <c r="X14" s="40"/>
      <c r="Y14" s="40"/>
      <c r="Z14" s="38"/>
    </row>
    <row r="15" spans="1:32" ht="71.25" customHeight="1" thickBot="1" x14ac:dyDescent="0.35">
      <c r="A15" s="28">
        <v>8</v>
      </c>
      <c r="B15" s="29">
        <v>8</v>
      </c>
      <c r="C15" s="35"/>
      <c r="D15" s="62"/>
      <c r="E15" s="125"/>
      <c r="F15" s="125"/>
      <c r="G15" s="44"/>
      <c r="H15" s="44"/>
      <c r="I15" s="126"/>
      <c r="J15" s="126"/>
      <c r="K15" s="126"/>
      <c r="L15" s="126"/>
      <c r="M15" s="126"/>
      <c r="N15" s="126"/>
      <c r="O15" s="126"/>
      <c r="P15" s="40"/>
      <c r="Q15" s="36"/>
      <c r="R15" s="49">
        <f t="shared" si="0"/>
        <v>0</v>
      </c>
      <c r="S15" s="31">
        <f>SUM(Q15+R15)</f>
        <v>0</v>
      </c>
      <c r="T15" s="32"/>
      <c r="U15" s="31"/>
      <c r="V15" s="31">
        <f t="shared" si="1"/>
        <v>0</v>
      </c>
      <c r="W15" s="36">
        <f t="shared" si="2"/>
        <v>0</v>
      </c>
      <c r="X15" s="40"/>
      <c r="Y15" s="40"/>
      <c r="Z15" s="38"/>
    </row>
    <row r="16" spans="1:32" ht="85.5" customHeight="1" thickBot="1" x14ac:dyDescent="0.35">
      <c r="A16" s="28">
        <v>9</v>
      </c>
      <c r="B16" s="29">
        <v>9</v>
      </c>
      <c r="C16" s="35"/>
      <c r="D16" s="62"/>
      <c r="E16" s="127"/>
      <c r="F16" s="128"/>
      <c r="G16" s="44"/>
      <c r="H16" s="44"/>
      <c r="I16" s="126"/>
      <c r="J16" s="126"/>
      <c r="K16" s="126"/>
      <c r="L16" s="126"/>
      <c r="M16" s="126"/>
      <c r="N16" s="126"/>
      <c r="O16" s="126"/>
      <c r="P16" s="40"/>
      <c r="Q16" s="36"/>
      <c r="R16" s="49">
        <f t="shared" si="0"/>
        <v>0</v>
      </c>
      <c r="S16" s="31">
        <f t="shared" si="3"/>
        <v>0</v>
      </c>
      <c r="T16" s="32"/>
      <c r="U16" s="31"/>
      <c r="V16" s="31">
        <f t="shared" si="1"/>
        <v>0</v>
      </c>
      <c r="W16" s="36">
        <f t="shared" si="2"/>
        <v>0</v>
      </c>
      <c r="X16" s="40"/>
      <c r="Y16" s="40"/>
      <c r="Z16" s="38"/>
    </row>
    <row r="17" spans="1:26" ht="84" customHeight="1" thickBot="1" x14ac:dyDescent="0.35">
      <c r="A17" s="28">
        <v>10</v>
      </c>
      <c r="B17" s="29">
        <v>10</v>
      </c>
      <c r="C17" s="35"/>
      <c r="D17" s="62"/>
      <c r="E17" s="125"/>
      <c r="F17" s="125"/>
      <c r="G17" s="44"/>
      <c r="H17" s="44"/>
      <c r="I17" s="126"/>
      <c r="J17" s="126"/>
      <c r="K17" s="126"/>
      <c r="L17" s="126"/>
      <c r="M17" s="126"/>
      <c r="N17" s="126"/>
      <c r="O17" s="126"/>
      <c r="P17" s="40"/>
      <c r="Q17" s="36"/>
      <c r="R17" s="49">
        <f t="shared" si="0"/>
        <v>0</v>
      </c>
      <c r="S17" s="31">
        <f t="shared" si="3"/>
        <v>0</v>
      </c>
      <c r="T17" s="32"/>
      <c r="U17" s="31"/>
      <c r="V17" s="31">
        <f t="shared" si="1"/>
        <v>0</v>
      </c>
      <c r="W17" s="36">
        <f t="shared" si="2"/>
        <v>0</v>
      </c>
      <c r="X17" s="40"/>
      <c r="Y17" s="40"/>
      <c r="Z17" s="38"/>
    </row>
    <row r="18" spans="1:26" ht="89.25" customHeight="1" thickBot="1" x14ac:dyDescent="0.35">
      <c r="A18" s="28">
        <v>11</v>
      </c>
      <c r="B18" s="29">
        <v>11</v>
      </c>
      <c r="C18" s="35"/>
      <c r="D18" s="62"/>
      <c r="E18" s="125"/>
      <c r="F18" s="125"/>
      <c r="G18" s="44"/>
      <c r="H18" s="44"/>
      <c r="I18" s="126"/>
      <c r="J18" s="126"/>
      <c r="K18" s="126"/>
      <c r="L18" s="126"/>
      <c r="M18" s="126"/>
      <c r="N18" s="126"/>
      <c r="O18" s="126"/>
      <c r="P18" s="40"/>
      <c r="Q18" s="36"/>
      <c r="R18" s="49">
        <f t="shared" si="0"/>
        <v>0</v>
      </c>
      <c r="S18" s="31">
        <f t="shared" si="3"/>
        <v>0</v>
      </c>
      <c r="T18" s="32"/>
      <c r="U18" s="31"/>
      <c r="V18" s="31">
        <f t="shared" si="1"/>
        <v>0</v>
      </c>
      <c r="W18" s="36">
        <f t="shared" si="2"/>
        <v>0</v>
      </c>
      <c r="X18" s="40"/>
      <c r="Y18" s="40"/>
      <c r="Z18" s="38"/>
    </row>
    <row r="19" spans="1:26" ht="49.5" customHeight="1" thickBot="1" x14ac:dyDescent="0.35">
      <c r="A19" s="28">
        <v>12</v>
      </c>
      <c r="B19" s="29"/>
      <c r="C19" s="35"/>
      <c r="D19" s="99"/>
      <c r="E19" s="127"/>
      <c r="F19" s="128"/>
      <c r="G19" s="44"/>
      <c r="H19" s="44"/>
      <c r="I19" s="131"/>
      <c r="J19" s="132"/>
      <c r="K19" s="132"/>
      <c r="L19" s="133"/>
      <c r="M19" s="131"/>
      <c r="N19" s="132"/>
      <c r="O19" s="133"/>
      <c r="P19" s="40"/>
      <c r="Q19" s="36"/>
      <c r="R19" s="49">
        <f t="shared" si="0"/>
        <v>0</v>
      </c>
      <c r="S19" s="31">
        <f t="shared" si="3"/>
        <v>0</v>
      </c>
      <c r="T19" s="32"/>
      <c r="U19" s="31"/>
      <c r="V19" s="31">
        <f t="shared" si="1"/>
        <v>0</v>
      </c>
      <c r="W19" s="36">
        <f t="shared" si="2"/>
        <v>0</v>
      </c>
      <c r="X19" s="40"/>
      <c r="Y19" s="40"/>
      <c r="Z19" s="38"/>
    </row>
    <row r="20" spans="1:26" ht="49.5" customHeight="1" thickBot="1" x14ac:dyDescent="0.35">
      <c r="A20" s="28">
        <v>13</v>
      </c>
      <c r="B20" s="29"/>
      <c r="C20" s="35"/>
      <c r="D20" s="99"/>
      <c r="E20" s="127"/>
      <c r="F20" s="128"/>
      <c r="G20" s="44"/>
      <c r="H20" s="44"/>
      <c r="I20" s="131"/>
      <c r="J20" s="132"/>
      <c r="K20" s="132"/>
      <c r="L20" s="133"/>
      <c r="M20" s="131"/>
      <c r="N20" s="132"/>
      <c r="O20" s="133"/>
      <c r="P20" s="40"/>
      <c r="Q20" s="36"/>
      <c r="R20" s="49">
        <f t="shared" si="0"/>
        <v>0</v>
      </c>
      <c r="S20" s="31">
        <f t="shared" si="3"/>
        <v>0</v>
      </c>
      <c r="T20" s="32"/>
      <c r="U20" s="31"/>
      <c r="V20" s="31">
        <f t="shared" si="1"/>
        <v>0</v>
      </c>
      <c r="W20" s="36">
        <f t="shared" si="2"/>
        <v>0</v>
      </c>
      <c r="X20" s="40"/>
      <c r="Y20" s="40"/>
      <c r="Z20" s="38"/>
    </row>
    <row r="21" spans="1:26" ht="49.5" customHeight="1" thickBot="1" x14ac:dyDescent="0.35">
      <c r="A21" s="28">
        <v>14</v>
      </c>
      <c r="B21" s="29"/>
      <c r="C21" s="35"/>
      <c r="D21" s="99"/>
      <c r="E21" s="127"/>
      <c r="F21" s="128"/>
      <c r="G21" s="44"/>
      <c r="H21" s="44"/>
      <c r="I21" s="131"/>
      <c r="J21" s="132"/>
      <c r="K21" s="132"/>
      <c r="L21" s="133"/>
      <c r="M21" s="131"/>
      <c r="N21" s="132"/>
      <c r="O21" s="133"/>
      <c r="P21" s="40"/>
      <c r="Q21" s="36"/>
      <c r="R21" s="49">
        <f t="shared" si="0"/>
        <v>0</v>
      </c>
      <c r="S21" s="31">
        <f t="shared" si="3"/>
        <v>0</v>
      </c>
      <c r="T21" s="32"/>
      <c r="U21" s="31"/>
      <c r="V21" s="31">
        <f t="shared" si="1"/>
        <v>0</v>
      </c>
      <c r="W21" s="36">
        <f t="shared" si="2"/>
        <v>0</v>
      </c>
      <c r="X21" s="40"/>
      <c r="Y21" s="40"/>
      <c r="Z21" s="38"/>
    </row>
    <row r="22" spans="1:26" ht="49.5" customHeight="1" thickBot="1" x14ac:dyDescent="0.35">
      <c r="A22" s="28">
        <v>15</v>
      </c>
      <c r="B22" s="29"/>
      <c r="C22" s="35"/>
      <c r="D22" s="99"/>
      <c r="E22" s="127"/>
      <c r="F22" s="128"/>
      <c r="G22" s="44"/>
      <c r="H22" s="44"/>
      <c r="I22" s="131"/>
      <c r="J22" s="132"/>
      <c r="K22" s="132"/>
      <c r="L22" s="133"/>
      <c r="M22" s="131"/>
      <c r="N22" s="132"/>
      <c r="O22" s="133"/>
      <c r="P22" s="40"/>
      <c r="Q22" s="36"/>
      <c r="R22" s="49">
        <f t="shared" si="0"/>
        <v>0</v>
      </c>
      <c r="S22" s="31">
        <f t="shared" si="3"/>
        <v>0</v>
      </c>
      <c r="T22" s="32"/>
      <c r="U22" s="31"/>
      <c r="V22" s="31">
        <f t="shared" si="1"/>
        <v>0</v>
      </c>
      <c r="W22" s="36">
        <f t="shared" si="2"/>
        <v>0</v>
      </c>
      <c r="X22" s="40"/>
      <c r="Y22" s="40"/>
      <c r="Z22" s="38"/>
    </row>
    <row r="23" spans="1:26" ht="49.5" customHeight="1" thickBot="1" x14ac:dyDescent="0.35">
      <c r="A23" s="28">
        <v>16</v>
      </c>
      <c r="B23" s="29"/>
      <c r="C23" s="35"/>
      <c r="D23" s="99"/>
      <c r="E23" s="87"/>
      <c r="F23" s="88"/>
      <c r="G23" s="44"/>
      <c r="H23" s="44"/>
      <c r="I23" s="89"/>
      <c r="J23" s="90"/>
      <c r="K23" s="90"/>
      <c r="L23" s="91"/>
      <c r="M23" s="89"/>
      <c r="N23" s="132"/>
      <c r="O23" s="133"/>
      <c r="P23" s="40"/>
      <c r="Q23" s="36"/>
      <c r="R23" s="49">
        <f t="shared" si="0"/>
        <v>0</v>
      </c>
      <c r="S23" s="31">
        <f t="shared" si="3"/>
        <v>0</v>
      </c>
      <c r="T23" s="32"/>
      <c r="U23" s="31"/>
      <c r="V23" s="31">
        <f t="shared" si="1"/>
        <v>0</v>
      </c>
      <c r="W23" s="36">
        <f t="shared" si="2"/>
        <v>0</v>
      </c>
      <c r="X23" s="40"/>
      <c r="Y23" s="40"/>
      <c r="Z23" s="38"/>
    </row>
    <row r="24" spans="1:26" ht="49.5" customHeight="1" thickBot="1" x14ac:dyDescent="0.35">
      <c r="A24" s="28">
        <v>17</v>
      </c>
      <c r="B24" s="29"/>
      <c r="C24" s="35"/>
      <c r="D24" s="99"/>
      <c r="E24" s="87"/>
      <c r="F24" s="88"/>
      <c r="G24" s="44"/>
      <c r="H24" s="44"/>
      <c r="I24" s="89"/>
      <c r="J24" s="90"/>
      <c r="K24" s="90"/>
      <c r="L24" s="91"/>
      <c r="M24" s="89"/>
      <c r="N24" s="90"/>
      <c r="O24" s="91"/>
      <c r="P24" s="40"/>
      <c r="Q24" s="36"/>
      <c r="R24" s="49">
        <f t="shared" si="0"/>
        <v>0</v>
      </c>
      <c r="S24" s="31">
        <f t="shared" si="3"/>
        <v>0</v>
      </c>
      <c r="T24" s="32"/>
      <c r="U24" s="31"/>
      <c r="V24" s="31">
        <f t="shared" si="1"/>
        <v>0</v>
      </c>
      <c r="W24" s="36">
        <f t="shared" si="2"/>
        <v>0</v>
      </c>
      <c r="X24" s="40"/>
      <c r="Y24" s="40"/>
      <c r="Z24" s="38"/>
    </row>
    <row r="25" spans="1:26" ht="49.5" customHeight="1" thickBot="1" x14ac:dyDescent="0.35">
      <c r="A25" s="28">
        <v>18</v>
      </c>
      <c r="B25" s="29"/>
      <c r="C25" s="35"/>
      <c r="D25" s="99"/>
      <c r="E25" s="87"/>
      <c r="F25" s="88"/>
      <c r="G25" s="44"/>
      <c r="H25" s="44"/>
      <c r="I25" s="89"/>
      <c r="J25" s="90"/>
      <c r="K25" s="90"/>
      <c r="L25" s="91"/>
      <c r="M25" s="89"/>
      <c r="N25" s="90"/>
      <c r="O25" s="91"/>
      <c r="P25" s="40"/>
      <c r="Q25" s="36"/>
      <c r="R25" s="49">
        <f t="shared" si="0"/>
        <v>0</v>
      </c>
      <c r="S25" s="31">
        <f t="shared" si="3"/>
        <v>0</v>
      </c>
      <c r="T25" s="32"/>
      <c r="U25" s="31"/>
      <c r="V25" s="31">
        <f t="shared" si="1"/>
        <v>0</v>
      </c>
      <c r="W25" s="36">
        <f t="shared" si="2"/>
        <v>0</v>
      </c>
      <c r="X25" s="40"/>
      <c r="Y25" s="40"/>
      <c r="Z25" s="38"/>
    </row>
    <row r="26" spans="1:26" ht="49.5" customHeight="1" thickBot="1" x14ac:dyDescent="0.35">
      <c r="A26" s="28">
        <v>19</v>
      </c>
      <c r="B26" s="29"/>
      <c r="C26" s="35"/>
      <c r="D26" s="99"/>
      <c r="E26" s="87"/>
      <c r="F26" s="88"/>
      <c r="G26" s="44"/>
      <c r="H26" s="44"/>
      <c r="I26" s="89"/>
      <c r="J26" s="90"/>
      <c r="K26" s="90"/>
      <c r="L26" s="91"/>
      <c r="M26" s="89"/>
      <c r="N26" s="90"/>
      <c r="O26" s="91"/>
      <c r="P26" s="40"/>
      <c r="Q26" s="36"/>
      <c r="R26" s="49">
        <f t="shared" si="0"/>
        <v>0</v>
      </c>
      <c r="S26" s="31">
        <f t="shared" si="3"/>
        <v>0</v>
      </c>
      <c r="T26" s="32"/>
      <c r="U26" s="31"/>
      <c r="V26" s="31">
        <f t="shared" si="1"/>
        <v>0</v>
      </c>
      <c r="W26" s="36">
        <f t="shared" si="2"/>
        <v>0</v>
      </c>
      <c r="X26" s="40"/>
      <c r="Y26" s="40"/>
      <c r="Z26" s="38"/>
    </row>
    <row r="27" spans="1:26" ht="49.5" customHeight="1" thickBot="1" x14ac:dyDescent="0.35">
      <c r="A27" s="28">
        <v>20</v>
      </c>
      <c r="B27" s="29"/>
      <c r="C27" s="35"/>
      <c r="D27" s="99"/>
      <c r="E27" s="87"/>
      <c r="F27" s="88"/>
      <c r="G27" s="44"/>
      <c r="H27" s="44"/>
      <c r="I27" s="89"/>
      <c r="J27" s="90"/>
      <c r="K27" s="90"/>
      <c r="L27" s="91"/>
      <c r="M27" s="89"/>
      <c r="N27" s="90"/>
      <c r="O27" s="91"/>
      <c r="P27" s="40"/>
      <c r="Q27" s="36"/>
      <c r="R27" s="49">
        <f t="shared" si="0"/>
        <v>0</v>
      </c>
      <c r="S27" s="31">
        <f t="shared" si="3"/>
        <v>0</v>
      </c>
      <c r="T27" s="32"/>
      <c r="U27" s="31"/>
      <c r="V27" s="31">
        <f t="shared" si="1"/>
        <v>0</v>
      </c>
      <c r="W27" s="36">
        <f t="shared" si="2"/>
        <v>0</v>
      </c>
      <c r="X27" s="40"/>
      <c r="Y27" s="40"/>
      <c r="Z27" s="38"/>
    </row>
    <row r="28" spans="1:26" ht="49.5" customHeight="1" thickBot="1" x14ac:dyDescent="0.35">
      <c r="A28" s="28">
        <v>21</v>
      </c>
      <c r="B28" s="29"/>
      <c r="C28" s="35"/>
      <c r="D28" s="99"/>
      <c r="E28" s="87"/>
      <c r="F28" s="88"/>
      <c r="G28" s="44"/>
      <c r="H28" s="44"/>
      <c r="I28" s="89"/>
      <c r="J28" s="90"/>
      <c r="K28" s="90"/>
      <c r="L28" s="91"/>
      <c r="M28" s="89"/>
      <c r="N28" s="90"/>
      <c r="O28" s="91"/>
      <c r="P28" s="40"/>
      <c r="Q28" s="36"/>
      <c r="R28" s="49">
        <f t="shared" si="0"/>
        <v>0</v>
      </c>
      <c r="S28" s="31">
        <f t="shared" si="3"/>
        <v>0</v>
      </c>
      <c r="T28" s="32"/>
      <c r="U28" s="31"/>
      <c r="V28" s="31">
        <f t="shared" si="1"/>
        <v>0</v>
      </c>
      <c r="W28" s="36">
        <f t="shared" si="2"/>
        <v>0</v>
      </c>
      <c r="X28" s="40"/>
      <c r="Y28" s="40"/>
      <c r="Z28" s="38"/>
    </row>
    <row r="29" spans="1:26" ht="49.5" customHeight="1" thickBot="1" x14ac:dyDescent="0.35">
      <c r="A29" s="28">
        <v>22</v>
      </c>
      <c r="B29" s="29"/>
      <c r="C29" s="35"/>
      <c r="D29" s="99"/>
      <c r="E29" s="87"/>
      <c r="F29" s="88"/>
      <c r="G29" s="44"/>
      <c r="H29" s="44"/>
      <c r="I29" s="89"/>
      <c r="J29" s="90"/>
      <c r="K29" s="90"/>
      <c r="L29" s="91"/>
      <c r="M29" s="89"/>
      <c r="N29" s="90"/>
      <c r="O29" s="91"/>
      <c r="P29" s="40"/>
      <c r="Q29" s="36"/>
      <c r="R29" s="49">
        <f t="shared" si="0"/>
        <v>0</v>
      </c>
      <c r="S29" s="31">
        <f t="shared" si="3"/>
        <v>0</v>
      </c>
      <c r="T29" s="32"/>
      <c r="U29" s="31"/>
      <c r="V29" s="31">
        <f t="shared" si="1"/>
        <v>0</v>
      </c>
      <c r="W29" s="36">
        <f t="shared" si="2"/>
        <v>0</v>
      </c>
      <c r="X29" s="40"/>
      <c r="Y29" s="40"/>
      <c r="Z29" s="38"/>
    </row>
    <row r="30" spans="1:26" ht="49.5" customHeight="1" thickBot="1" x14ac:dyDescent="0.35">
      <c r="A30" s="28">
        <v>23</v>
      </c>
      <c r="B30" s="29"/>
      <c r="C30" s="35"/>
      <c r="D30" s="99"/>
      <c r="E30" s="87"/>
      <c r="F30" s="88"/>
      <c r="G30" s="44"/>
      <c r="H30" s="44"/>
      <c r="I30" s="89"/>
      <c r="J30" s="90"/>
      <c r="K30" s="90"/>
      <c r="L30" s="91"/>
      <c r="M30" s="89"/>
      <c r="N30" s="90"/>
      <c r="O30" s="91"/>
      <c r="P30" s="40"/>
      <c r="Q30" s="36"/>
      <c r="R30" s="49">
        <f t="shared" si="0"/>
        <v>0</v>
      </c>
      <c r="S30" s="31">
        <f t="shared" si="3"/>
        <v>0</v>
      </c>
      <c r="T30" s="32"/>
      <c r="U30" s="31"/>
      <c r="V30" s="31">
        <f t="shared" si="1"/>
        <v>0</v>
      </c>
      <c r="W30" s="36">
        <f t="shared" si="2"/>
        <v>0</v>
      </c>
      <c r="X30" s="40"/>
      <c r="Y30" s="40"/>
      <c r="Z30" s="38"/>
    </row>
    <row r="31" spans="1:26" ht="49.5" customHeight="1" thickBot="1" x14ac:dyDescent="0.35">
      <c r="A31" s="28">
        <v>24</v>
      </c>
      <c r="B31" s="29"/>
      <c r="C31" s="35"/>
      <c r="D31" s="99"/>
      <c r="E31" s="87"/>
      <c r="F31" s="88"/>
      <c r="G31" s="44"/>
      <c r="H31" s="44"/>
      <c r="I31" s="89"/>
      <c r="J31" s="90"/>
      <c r="K31" s="90"/>
      <c r="L31" s="91"/>
      <c r="M31" s="89"/>
      <c r="N31" s="90"/>
      <c r="O31" s="91"/>
      <c r="P31" s="40"/>
      <c r="Q31" s="36"/>
      <c r="R31" s="49">
        <f t="shared" si="0"/>
        <v>0</v>
      </c>
      <c r="S31" s="31">
        <f t="shared" si="3"/>
        <v>0</v>
      </c>
      <c r="T31" s="32"/>
      <c r="U31" s="31"/>
      <c r="V31" s="31">
        <f t="shared" si="1"/>
        <v>0</v>
      </c>
      <c r="W31" s="36">
        <f t="shared" si="2"/>
        <v>0</v>
      </c>
      <c r="X31" s="40"/>
      <c r="Y31" s="40"/>
      <c r="Z31" s="38"/>
    </row>
    <row r="32" spans="1:26" ht="49.5" customHeight="1" thickBot="1" x14ac:dyDescent="0.35">
      <c r="A32" s="28">
        <v>25</v>
      </c>
      <c r="B32" s="29"/>
      <c r="C32" s="35"/>
      <c r="D32" s="99"/>
      <c r="E32" s="87"/>
      <c r="F32" s="88"/>
      <c r="G32" s="44"/>
      <c r="H32" s="44"/>
      <c r="I32" s="89"/>
      <c r="J32" s="90"/>
      <c r="K32" s="90"/>
      <c r="L32" s="91"/>
      <c r="M32" s="89"/>
      <c r="N32" s="90"/>
      <c r="O32" s="91"/>
      <c r="P32" s="40"/>
      <c r="Q32" s="36"/>
      <c r="R32" s="49">
        <f t="shared" si="0"/>
        <v>0</v>
      </c>
      <c r="S32" s="31">
        <f t="shared" si="3"/>
        <v>0</v>
      </c>
      <c r="T32" s="32"/>
      <c r="U32" s="31"/>
      <c r="V32" s="31">
        <f t="shared" si="1"/>
        <v>0</v>
      </c>
      <c r="W32" s="36">
        <f t="shared" si="2"/>
        <v>0</v>
      </c>
      <c r="X32" s="40"/>
      <c r="Y32" s="40"/>
      <c r="Z32" s="38"/>
    </row>
    <row r="33" spans="1:26" ht="49.5" customHeight="1" thickBot="1" x14ac:dyDescent="0.3">
      <c r="A33" s="28">
        <v>26</v>
      </c>
      <c r="B33" s="29"/>
      <c r="C33" s="35"/>
      <c r="D33" s="47"/>
      <c r="E33" s="127"/>
      <c r="F33" s="128"/>
      <c r="G33" s="41"/>
      <c r="H33" s="41"/>
      <c r="I33" s="131"/>
      <c r="J33" s="132"/>
      <c r="K33" s="132"/>
      <c r="L33" s="133"/>
      <c r="M33" s="131"/>
      <c r="N33" s="132"/>
      <c r="O33" s="133"/>
      <c r="P33" s="40"/>
      <c r="Q33" s="50"/>
      <c r="R33" s="49">
        <f>PRODUCT(Q33*0.2)</f>
        <v>0</v>
      </c>
      <c r="S33" s="31">
        <f>SUM(Q33+R33)</f>
        <v>0</v>
      </c>
      <c r="T33" s="32"/>
      <c r="U33" s="31"/>
      <c r="V33" s="31">
        <f t="shared" ref="V33" si="4">Q33*0.00948</f>
        <v>0</v>
      </c>
      <c r="W33" s="36">
        <f t="shared" ref="W33" si="5">SUM(S33:V33)</f>
        <v>0</v>
      </c>
      <c r="X33" s="42"/>
      <c r="Y33" s="40"/>
      <c r="Z33" s="38"/>
    </row>
    <row r="34" spans="1:26" ht="69.75" customHeight="1" thickBot="1" x14ac:dyDescent="0.25">
      <c r="A34" s="149" t="s">
        <v>6</v>
      </c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46">
        <f>SUM(Q8:Q33)</f>
        <v>0</v>
      </c>
      <c r="R34" s="45">
        <f>SUM(R8:R33)</f>
        <v>0</v>
      </c>
      <c r="S34" s="45">
        <f>SUM(S8:S33)</f>
        <v>0</v>
      </c>
      <c r="T34" s="51"/>
      <c r="U34" s="45"/>
      <c r="V34" s="45">
        <f>SUM(V8:V33)</f>
        <v>0</v>
      </c>
      <c r="W34" s="46">
        <f>SUM(W8:W33)</f>
        <v>0</v>
      </c>
      <c r="X34" s="52"/>
      <c r="Y34" s="53"/>
      <c r="Z34" s="54"/>
    </row>
    <row r="35" spans="1:26" ht="62.25" customHeight="1" thickBot="1" x14ac:dyDescent="0.4">
      <c r="A35" s="152" t="s">
        <v>28</v>
      </c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3" t="s">
        <v>11</v>
      </c>
      <c r="U35" s="153"/>
      <c r="V35" s="153"/>
      <c r="W35" s="151" t="s">
        <v>35</v>
      </c>
      <c r="X35" s="151"/>
      <c r="Y35" s="151"/>
      <c r="Z35" s="151"/>
    </row>
    <row r="36" spans="1:26" ht="49.5" customHeight="1" thickBot="1" x14ac:dyDescent="0.4">
      <c r="A36" s="152" t="s">
        <v>29</v>
      </c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3" t="s">
        <v>12</v>
      </c>
      <c r="U36" s="153"/>
      <c r="V36" s="153"/>
      <c r="W36" s="156" t="s">
        <v>34</v>
      </c>
      <c r="X36" s="156"/>
      <c r="Y36" s="156"/>
      <c r="Z36" s="156"/>
    </row>
    <row r="37" spans="1:26" ht="45" customHeight="1" thickBot="1" x14ac:dyDescent="0.4">
      <c r="A37" s="157"/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3" t="s">
        <v>13</v>
      </c>
      <c r="U37" s="153"/>
      <c r="V37" s="153"/>
      <c r="W37" s="156" t="s">
        <v>32</v>
      </c>
      <c r="X37" s="156"/>
      <c r="Y37" s="156"/>
      <c r="Z37" s="156"/>
    </row>
    <row r="38" spans="1:26" ht="52.5" customHeight="1" thickBot="1" x14ac:dyDescent="0.45">
      <c r="A38" s="154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3" t="s">
        <v>14</v>
      </c>
      <c r="U38" s="153"/>
      <c r="V38" s="153"/>
      <c r="W38" s="155"/>
      <c r="X38" s="155"/>
      <c r="Y38" s="155"/>
      <c r="Z38" s="155"/>
    </row>
    <row r="39" spans="1:26" ht="12.75" customHeight="1" x14ac:dyDescent="0.2"/>
    <row r="40" spans="1:26" ht="12.75" customHeight="1" x14ac:dyDescent="0.2"/>
    <row r="41" spans="1:26" ht="12.75" customHeight="1" x14ac:dyDescent="0.2"/>
  </sheetData>
  <autoFilter ref="A4:Z33" xr:uid="{00000000-0009-0000-0000-000000000000}">
    <filterColumn colId="4" showButton="0"/>
    <filterColumn colId="5" showButton="0"/>
    <filterColumn colId="6" showButton="0"/>
    <filterColumn colId="8" showButton="0"/>
    <filterColumn colId="9" showButton="0"/>
    <filterColumn colId="10" showButton="0"/>
    <filterColumn colId="12" showButton="0"/>
    <filterColumn colId="13" showButton="0"/>
  </autoFilter>
  <mergeCells count="85">
    <mergeCell ref="N23:O23"/>
    <mergeCell ref="I21:L21"/>
    <mergeCell ref="I22:L22"/>
    <mergeCell ref="E21:F21"/>
    <mergeCell ref="E22:F22"/>
    <mergeCell ref="M20:O20"/>
    <mergeCell ref="M21:O21"/>
    <mergeCell ref="M22:O22"/>
    <mergeCell ref="I19:L19"/>
    <mergeCell ref="E19:F19"/>
    <mergeCell ref="M19:O19"/>
    <mergeCell ref="E20:F20"/>
    <mergeCell ref="I20:L20"/>
    <mergeCell ref="A34:P34"/>
    <mergeCell ref="W35:Z35"/>
    <mergeCell ref="A35:S35"/>
    <mergeCell ref="T35:V35"/>
    <mergeCell ref="A38:S38"/>
    <mergeCell ref="T38:V38"/>
    <mergeCell ref="W38:Z38"/>
    <mergeCell ref="A36:S36"/>
    <mergeCell ref="T36:V36"/>
    <mergeCell ref="W36:Z36"/>
    <mergeCell ref="A37:S37"/>
    <mergeCell ref="T37:V37"/>
    <mergeCell ref="W37:Z37"/>
    <mergeCell ref="E10:H10"/>
    <mergeCell ref="Q5:Q6"/>
    <mergeCell ref="R5:R6"/>
    <mergeCell ref="S5:S6"/>
    <mergeCell ref="T5:T6"/>
    <mergeCell ref="I8:L8"/>
    <mergeCell ref="M8:O8"/>
    <mergeCell ref="E9:H9"/>
    <mergeCell ref="I9:L9"/>
    <mergeCell ref="M9:O9"/>
    <mergeCell ref="I10:L10"/>
    <mergeCell ref="M10:O10"/>
    <mergeCell ref="E8:F8"/>
    <mergeCell ref="I7:L7"/>
    <mergeCell ref="M7:O7"/>
    <mergeCell ref="E7:F7"/>
    <mergeCell ref="A1:Z1"/>
    <mergeCell ref="A2:Z4"/>
    <mergeCell ref="A5:A6"/>
    <mergeCell ref="B5:B6"/>
    <mergeCell ref="C5:C6"/>
    <mergeCell ref="D5:D6"/>
    <mergeCell ref="E5:H6"/>
    <mergeCell ref="I5:L6"/>
    <mergeCell ref="M5:O6"/>
    <mergeCell ref="P5:P6"/>
    <mergeCell ref="W5:W6"/>
    <mergeCell ref="X5:X6"/>
    <mergeCell ref="Y5:Y6"/>
    <mergeCell ref="Z5:Z6"/>
    <mergeCell ref="U5:U6"/>
    <mergeCell ref="V5:V6"/>
    <mergeCell ref="E33:F33"/>
    <mergeCell ref="E11:F11"/>
    <mergeCell ref="I11:L11"/>
    <mergeCell ref="M11:O11"/>
    <mergeCell ref="E12:F12"/>
    <mergeCell ref="I12:L12"/>
    <mergeCell ref="M12:O12"/>
    <mergeCell ref="E14:F14"/>
    <mergeCell ref="I14:L14"/>
    <mergeCell ref="M14:O14"/>
    <mergeCell ref="M13:O13"/>
    <mergeCell ref="I13:L13"/>
    <mergeCell ref="E13:F13"/>
    <mergeCell ref="I33:L33"/>
    <mergeCell ref="M33:O33"/>
    <mergeCell ref="E15:F15"/>
    <mergeCell ref="I15:L15"/>
    <mergeCell ref="M15:O15"/>
    <mergeCell ref="M16:O16"/>
    <mergeCell ref="I16:L16"/>
    <mergeCell ref="E16:F16"/>
    <mergeCell ref="E17:F17"/>
    <mergeCell ref="I17:L17"/>
    <mergeCell ref="M17:O17"/>
    <mergeCell ref="E18:F18"/>
    <mergeCell ref="I18:L18"/>
    <mergeCell ref="M18:O18"/>
  </mergeCells>
  <phoneticPr fontId="26" type="noConversion"/>
  <pageMargins left="0.9055118110236221" right="0.15748031496062992" top="0.43307086614173229" bottom="0" header="0.15748031496062992" footer="0.15748031496062992"/>
  <pageSetup paperSize="9" scale="35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2">
    <pageSetUpPr fitToPage="1"/>
  </sheetPr>
  <dimension ref="A1:AF45"/>
  <sheetViews>
    <sheetView topLeftCell="A7" zoomScale="56" zoomScaleNormal="56" workbookViewId="0">
      <selection activeCell="X8" sqref="X8:Z23"/>
    </sheetView>
  </sheetViews>
  <sheetFormatPr defaultRowHeight="12.75" x14ac:dyDescent="0.2"/>
  <cols>
    <col min="1" max="1" width="5.5703125" customWidth="1"/>
    <col min="2" max="2" width="9.140625" style="1" customWidth="1"/>
    <col min="3" max="3" width="15.140625" style="1" bestFit="1" customWidth="1"/>
    <col min="4" max="4" width="8.5703125" style="1" customWidth="1"/>
    <col min="5" max="5" width="17.7109375" style="1" customWidth="1"/>
    <col min="6" max="6" width="23.28515625" style="1" customWidth="1"/>
    <col min="7" max="7" width="8.5703125" style="1" hidden="1" customWidth="1"/>
    <col min="8" max="8" width="2.28515625" style="1" customWidth="1"/>
    <col min="9" max="9" width="5.140625" style="1" customWidth="1"/>
    <col min="10" max="10" width="5.5703125" style="1" customWidth="1"/>
    <col min="11" max="11" width="5" style="1" customWidth="1"/>
    <col min="12" max="12" width="12.5703125" style="1" customWidth="1"/>
    <col min="13" max="13" width="8.42578125" style="1" customWidth="1"/>
    <col min="14" max="14" width="8" style="1" customWidth="1"/>
    <col min="15" max="15" width="12.28515625" style="1" customWidth="1"/>
    <col min="16" max="16" width="20" style="1" customWidth="1"/>
    <col min="17" max="17" width="19.7109375" style="1" customWidth="1"/>
    <col min="18" max="18" width="21.5703125" style="1" customWidth="1"/>
    <col min="19" max="19" width="19.5703125" style="1" bestFit="1" customWidth="1"/>
    <col min="20" max="20" width="16.28515625" style="1" customWidth="1"/>
    <col min="21" max="21" width="14.140625" style="1" customWidth="1"/>
    <col min="22" max="23" width="21" style="1" customWidth="1"/>
    <col min="24" max="24" width="18.7109375" style="1" customWidth="1"/>
    <col min="25" max="25" width="20.5703125" style="1" customWidth="1"/>
    <col min="26" max="26" width="23.140625" style="1" customWidth="1"/>
  </cols>
  <sheetData>
    <row r="1" spans="1:32" ht="38.25" customHeight="1" x14ac:dyDescent="0.4">
      <c r="A1" s="158" t="s">
        <v>10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60"/>
    </row>
    <row r="2" spans="1:32" ht="30" customHeight="1" x14ac:dyDescent="0.2">
      <c r="A2" s="161" t="s">
        <v>94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</row>
    <row r="3" spans="1:32" ht="41.25" customHeight="1" x14ac:dyDescent="0.2">
      <c r="A3" s="161"/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</row>
    <row r="4" spans="1:32" s="3" customFormat="1" ht="37.5" customHeight="1" thickBot="1" x14ac:dyDescent="0.35">
      <c r="A4" s="161"/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161"/>
      <c r="Y4" s="161"/>
      <c r="Z4" s="161"/>
    </row>
    <row r="5" spans="1:32" s="3" customFormat="1" ht="100.5" customHeight="1" thickBot="1" x14ac:dyDescent="0.35">
      <c r="A5" s="162" t="s">
        <v>95</v>
      </c>
      <c r="B5" s="141" t="s">
        <v>1</v>
      </c>
      <c r="C5" s="141" t="s">
        <v>2</v>
      </c>
      <c r="D5" s="141" t="s">
        <v>15</v>
      </c>
      <c r="E5" s="142" t="s">
        <v>5</v>
      </c>
      <c r="F5" s="142"/>
      <c r="G5" s="142"/>
      <c r="H5" s="142"/>
      <c r="I5" s="141" t="s">
        <v>16</v>
      </c>
      <c r="J5" s="141"/>
      <c r="K5" s="141"/>
      <c r="L5" s="141"/>
      <c r="M5" s="141" t="s">
        <v>3</v>
      </c>
      <c r="N5" s="141"/>
      <c r="O5" s="141"/>
      <c r="P5" s="141" t="s">
        <v>17</v>
      </c>
      <c r="Q5" s="141" t="s">
        <v>22</v>
      </c>
      <c r="R5" s="143" t="s">
        <v>75</v>
      </c>
      <c r="S5" s="141" t="s">
        <v>26</v>
      </c>
      <c r="T5" s="141" t="s">
        <v>27</v>
      </c>
      <c r="U5" s="141" t="s">
        <v>31</v>
      </c>
      <c r="V5" s="141" t="s">
        <v>18</v>
      </c>
      <c r="W5" s="141" t="s">
        <v>0</v>
      </c>
      <c r="X5" s="141" t="s">
        <v>8</v>
      </c>
      <c r="Y5" s="141" t="s">
        <v>7</v>
      </c>
      <c r="Z5" s="141" t="s">
        <v>4</v>
      </c>
      <c r="AA5" s="4"/>
      <c r="AB5" s="4"/>
      <c r="AC5" s="4"/>
      <c r="AD5" s="4"/>
      <c r="AE5" s="4"/>
      <c r="AF5" s="4"/>
    </row>
    <row r="6" spans="1:32" s="3" customFormat="1" ht="29.25" hidden="1" customHeight="1" x14ac:dyDescent="0.3">
      <c r="A6" s="162"/>
      <c r="B6" s="141"/>
      <c r="C6" s="141"/>
      <c r="D6" s="141"/>
      <c r="E6" s="142"/>
      <c r="F6" s="142"/>
      <c r="G6" s="142"/>
      <c r="H6" s="142"/>
      <c r="I6" s="141"/>
      <c r="J6" s="141"/>
      <c r="K6" s="141"/>
      <c r="L6" s="141"/>
      <c r="M6" s="141"/>
      <c r="N6" s="141"/>
      <c r="O6" s="141"/>
      <c r="P6" s="141"/>
      <c r="Q6" s="141"/>
      <c r="R6" s="143"/>
      <c r="S6" s="141"/>
      <c r="T6" s="141"/>
      <c r="U6" s="141"/>
      <c r="V6" s="141"/>
      <c r="W6" s="141"/>
      <c r="X6" s="141"/>
      <c r="Y6" s="141"/>
      <c r="Z6" s="141"/>
      <c r="AA6" s="4"/>
      <c r="AB6" s="4"/>
      <c r="AC6" s="4"/>
      <c r="AD6" s="4"/>
      <c r="AE6" s="4"/>
      <c r="AF6" s="4"/>
    </row>
    <row r="7" spans="1:32" ht="74.25" customHeight="1" thickBot="1" x14ac:dyDescent="0.35">
      <c r="A7" s="57"/>
      <c r="B7" s="26"/>
      <c r="C7" s="26"/>
      <c r="D7" s="26"/>
      <c r="E7" s="163"/>
      <c r="F7" s="163"/>
      <c r="G7" s="163"/>
      <c r="H7" s="163"/>
      <c r="I7" s="162"/>
      <c r="J7" s="162"/>
      <c r="K7" s="162"/>
      <c r="L7" s="162"/>
      <c r="M7" s="162"/>
      <c r="N7" s="162"/>
      <c r="O7" s="162"/>
      <c r="P7" s="26"/>
      <c r="Q7" s="26" t="s">
        <v>19</v>
      </c>
      <c r="R7" s="26" t="s">
        <v>20</v>
      </c>
      <c r="S7" s="26" t="s">
        <v>21</v>
      </c>
      <c r="T7" s="26" t="s">
        <v>24</v>
      </c>
      <c r="U7" s="26" t="s">
        <v>23</v>
      </c>
      <c r="V7" s="26"/>
      <c r="W7" s="26" t="s">
        <v>25</v>
      </c>
      <c r="X7" s="26"/>
      <c r="Y7" s="26"/>
      <c r="Z7" s="26"/>
    </row>
    <row r="8" spans="1:32" ht="66.75" customHeight="1" thickBot="1" x14ac:dyDescent="0.25">
      <c r="A8" s="28">
        <v>1</v>
      </c>
      <c r="B8" s="29"/>
      <c r="C8" s="35"/>
      <c r="D8" s="82"/>
      <c r="E8" s="125"/>
      <c r="F8" s="125"/>
      <c r="G8" s="125"/>
      <c r="H8" s="125"/>
      <c r="I8" s="125"/>
      <c r="J8" s="125"/>
      <c r="K8" s="125"/>
      <c r="L8" s="125"/>
      <c r="M8" s="126"/>
      <c r="N8" s="126"/>
      <c r="O8" s="126"/>
      <c r="P8" s="71"/>
      <c r="Q8" s="55"/>
      <c r="R8" s="79">
        <f>Q8*0.2</f>
        <v>0</v>
      </c>
      <c r="S8" s="32">
        <f t="shared" ref="S8:S34" si="0">Q8+R8</f>
        <v>0</v>
      </c>
      <c r="T8" s="72"/>
      <c r="U8" s="72"/>
      <c r="V8" s="32">
        <f t="shared" ref="V8:V34" si="1">Q8*0.00948</f>
        <v>0</v>
      </c>
      <c r="W8" s="55">
        <f>V8+Q8+R8</f>
        <v>0</v>
      </c>
      <c r="X8" s="43"/>
      <c r="Y8" s="43"/>
      <c r="Z8" s="38"/>
    </row>
    <row r="9" spans="1:32" ht="47.25" customHeight="1" thickBot="1" x14ac:dyDescent="0.25">
      <c r="A9" s="28">
        <v>2</v>
      </c>
      <c r="B9" s="29"/>
      <c r="C9" s="35"/>
      <c r="D9" s="82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71"/>
      <c r="Q9" s="55"/>
      <c r="R9" s="79">
        <f>Q9*0.2</f>
        <v>0</v>
      </c>
      <c r="S9" s="32">
        <f t="shared" si="0"/>
        <v>0</v>
      </c>
      <c r="T9" s="72"/>
      <c r="U9" s="72"/>
      <c r="V9" s="32">
        <f t="shared" si="1"/>
        <v>0</v>
      </c>
      <c r="W9" s="55">
        <f t="shared" ref="W9:W34" si="2">SUM(S9:V9)</f>
        <v>0</v>
      </c>
      <c r="X9" s="30"/>
      <c r="Y9" s="30"/>
      <c r="Z9" s="38"/>
    </row>
    <row r="10" spans="1:32" ht="39" customHeight="1" thickBot="1" x14ac:dyDescent="0.25">
      <c r="A10" s="28">
        <v>3</v>
      </c>
      <c r="B10" s="29"/>
      <c r="C10" s="35"/>
      <c r="D10" s="82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71"/>
      <c r="Q10" s="55"/>
      <c r="R10" s="79">
        <f>Q10*0.2</f>
        <v>0</v>
      </c>
      <c r="S10" s="32">
        <f t="shared" si="0"/>
        <v>0</v>
      </c>
      <c r="T10" s="72"/>
      <c r="U10" s="72"/>
      <c r="V10" s="32">
        <f t="shared" si="1"/>
        <v>0</v>
      </c>
      <c r="W10" s="55">
        <f t="shared" si="2"/>
        <v>0</v>
      </c>
      <c r="X10" s="30"/>
      <c r="Y10" s="30"/>
      <c r="Z10" s="38"/>
    </row>
    <row r="11" spans="1:32" ht="51" customHeight="1" thickBot="1" x14ac:dyDescent="0.25">
      <c r="A11" s="28">
        <v>4</v>
      </c>
      <c r="B11" s="29"/>
      <c r="C11" s="35"/>
      <c r="D11" s="82"/>
      <c r="E11" s="125"/>
      <c r="F11" s="125"/>
      <c r="G11" s="125"/>
      <c r="H11" s="125"/>
      <c r="I11" s="125"/>
      <c r="J11" s="125"/>
      <c r="K11" s="125"/>
      <c r="L11" s="125"/>
      <c r="M11" s="130"/>
      <c r="N11" s="130"/>
      <c r="O11" s="130"/>
      <c r="P11" s="71"/>
      <c r="Q11" s="55"/>
      <c r="R11" s="79">
        <f>Q11*0.2</f>
        <v>0</v>
      </c>
      <c r="S11" s="32">
        <f t="shared" si="0"/>
        <v>0</v>
      </c>
      <c r="T11" s="72"/>
      <c r="U11" s="72"/>
      <c r="V11" s="32">
        <f t="shared" si="1"/>
        <v>0</v>
      </c>
      <c r="W11" s="55">
        <f t="shared" si="2"/>
        <v>0</v>
      </c>
      <c r="X11" s="30"/>
      <c r="Y11" s="30"/>
      <c r="Z11" s="38"/>
    </row>
    <row r="12" spans="1:32" ht="47.25" customHeight="1" thickBot="1" x14ac:dyDescent="0.25">
      <c r="A12" s="28">
        <v>5</v>
      </c>
      <c r="B12" s="29"/>
      <c r="C12" s="35"/>
      <c r="D12" s="82"/>
      <c r="E12" s="125"/>
      <c r="F12" s="125"/>
      <c r="G12" s="125"/>
      <c r="H12" s="125"/>
      <c r="I12" s="125"/>
      <c r="J12" s="125"/>
      <c r="K12" s="125"/>
      <c r="L12" s="125"/>
      <c r="M12" s="126"/>
      <c r="N12" s="126"/>
      <c r="O12" s="126"/>
      <c r="P12" s="71"/>
      <c r="Q12" s="55"/>
      <c r="R12" s="79">
        <f>Q12*0.2</f>
        <v>0</v>
      </c>
      <c r="S12" s="32">
        <f t="shared" si="0"/>
        <v>0</v>
      </c>
      <c r="T12" s="72"/>
      <c r="U12" s="72"/>
      <c r="V12" s="32">
        <f t="shared" si="1"/>
        <v>0</v>
      </c>
      <c r="W12" s="55">
        <f t="shared" si="2"/>
        <v>0</v>
      </c>
      <c r="X12" s="30"/>
      <c r="Y12" s="30"/>
      <c r="Z12" s="38"/>
    </row>
    <row r="13" spans="1:32" ht="57.75" customHeight="1" thickBot="1" x14ac:dyDescent="0.25">
      <c r="A13" s="28">
        <v>6</v>
      </c>
      <c r="B13" s="29"/>
      <c r="C13" s="35"/>
      <c r="D13" s="82"/>
      <c r="E13" s="125"/>
      <c r="F13" s="125"/>
      <c r="G13" s="125"/>
      <c r="H13" s="125"/>
      <c r="I13" s="125"/>
      <c r="J13" s="125"/>
      <c r="K13" s="125"/>
      <c r="L13" s="125"/>
      <c r="M13" s="126"/>
      <c r="N13" s="126"/>
      <c r="O13" s="126"/>
      <c r="P13" s="71"/>
      <c r="Q13" s="55"/>
      <c r="R13" s="79">
        <f t="shared" ref="R13:R34" si="3">Q13*0.2</f>
        <v>0</v>
      </c>
      <c r="S13" s="32">
        <f t="shared" si="0"/>
        <v>0</v>
      </c>
      <c r="T13" s="72"/>
      <c r="U13" s="72"/>
      <c r="V13" s="32">
        <f t="shared" si="1"/>
        <v>0</v>
      </c>
      <c r="W13" s="55">
        <f t="shared" si="2"/>
        <v>0</v>
      </c>
      <c r="X13" s="30"/>
      <c r="Y13" s="30"/>
      <c r="Z13" s="38"/>
    </row>
    <row r="14" spans="1:32" ht="59.25" customHeight="1" thickBot="1" x14ac:dyDescent="0.25">
      <c r="A14" s="28">
        <v>7</v>
      </c>
      <c r="B14" s="29"/>
      <c r="C14" s="35"/>
      <c r="D14" s="82"/>
      <c r="E14" s="125"/>
      <c r="F14" s="125"/>
      <c r="G14" s="125"/>
      <c r="H14" s="125"/>
      <c r="I14" s="125"/>
      <c r="J14" s="125"/>
      <c r="K14" s="125"/>
      <c r="L14" s="125"/>
      <c r="M14" s="126"/>
      <c r="N14" s="126"/>
      <c r="O14" s="126"/>
      <c r="P14" s="71"/>
      <c r="Q14" s="55"/>
      <c r="R14" s="79">
        <f t="shared" si="3"/>
        <v>0</v>
      </c>
      <c r="S14" s="32">
        <f t="shared" si="0"/>
        <v>0</v>
      </c>
      <c r="T14" s="72"/>
      <c r="U14" s="72"/>
      <c r="V14" s="32">
        <f t="shared" si="1"/>
        <v>0</v>
      </c>
      <c r="W14" s="55">
        <f t="shared" si="2"/>
        <v>0</v>
      </c>
      <c r="X14" s="30"/>
      <c r="Y14" s="30"/>
      <c r="Z14" s="38"/>
    </row>
    <row r="15" spans="1:32" ht="56.25" customHeight="1" thickBot="1" x14ac:dyDescent="0.25">
      <c r="A15" s="28">
        <v>8</v>
      </c>
      <c r="B15" s="29"/>
      <c r="C15" s="35"/>
      <c r="D15" s="82"/>
      <c r="E15" s="125"/>
      <c r="F15" s="125"/>
      <c r="G15" s="125"/>
      <c r="H15" s="125"/>
      <c r="I15" s="125"/>
      <c r="J15" s="125"/>
      <c r="K15" s="125"/>
      <c r="L15" s="125"/>
      <c r="M15" s="126"/>
      <c r="N15" s="126"/>
      <c r="O15" s="126"/>
      <c r="P15" s="71"/>
      <c r="Q15" s="55"/>
      <c r="R15" s="79">
        <f t="shared" si="3"/>
        <v>0</v>
      </c>
      <c r="S15" s="32">
        <f t="shared" si="0"/>
        <v>0</v>
      </c>
      <c r="T15" s="72"/>
      <c r="U15" s="72"/>
      <c r="V15" s="32">
        <f t="shared" si="1"/>
        <v>0</v>
      </c>
      <c r="W15" s="55">
        <f t="shared" si="2"/>
        <v>0</v>
      </c>
      <c r="X15" s="30"/>
      <c r="Y15" s="30"/>
      <c r="Z15" s="38"/>
    </row>
    <row r="16" spans="1:32" ht="54.75" customHeight="1" thickBot="1" x14ac:dyDescent="0.25">
      <c r="A16" s="28">
        <v>9</v>
      </c>
      <c r="B16" s="29"/>
      <c r="C16" s="35"/>
      <c r="D16" s="82"/>
      <c r="E16" s="125"/>
      <c r="F16" s="125"/>
      <c r="G16" s="125"/>
      <c r="H16" s="125"/>
      <c r="I16" s="125"/>
      <c r="J16" s="125"/>
      <c r="K16" s="125"/>
      <c r="L16" s="125"/>
      <c r="M16" s="126"/>
      <c r="N16" s="126"/>
      <c r="O16" s="126"/>
      <c r="P16" s="71"/>
      <c r="Q16" s="55"/>
      <c r="R16" s="79">
        <f t="shared" si="3"/>
        <v>0</v>
      </c>
      <c r="S16" s="32">
        <f t="shared" si="0"/>
        <v>0</v>
      </c>
      <c r="T16" s="72"/>
      <c r="U16" s="72"/>
      <c r="V16" s="32">
        <f t="shared" si="1"/>
        <v>0</v>
      </c>
      <c r="W16" s="55">
        <f t="shared" si="2"/>
        <v>0</v>
      </c>
      <c r="X16" s="30"/>
      <c r="Y16" s="30"/>
      <c r="Z16" s="38"/>
    </row>
    <row r="17" spans="1:26" ht="59.25" customHeight="1" thickBot="1" x14ac:dyDescent="0.25">
      <c r="A17" s="28">
        <v>10</v>
      </c>
      <c r="B17" s="29"/>
      <c r="C17" s="35"/>
      <c r="D17" s="82"/>
      <c r="E17" s="125"/>
      <c r="F17" s="125"/>
      <c r="G17" s="125"/>
      <c r="H17" s="125"/>
      <c r="I17" s="125"/>
      <c r="J17" s="125"/>
      <c r="K17" s="125"/>
      <c r="L17" s="125"/>
      <c r="M17" s="126"/>
      <c r="N17" s="126"/>
      <c r="O17" s="126"/>
      <c r="P17" s="71"/>
      <c r="Q17" s="55"/>
      <c r="R17" s="79">
        <f t="shared" ref="R17:R22" si="4">Q17*0.2</f>
        <v>0</v>
      </c>
      <c r="S17" s="32">
        <f t="shared" ref="S17:S22" si="5">Q17+R17</f>
        <v>0</v>
      </c>
      <c r="T17" s="72"/>
      <c r="U17" s="72"/>
      <c r="V17" s="32">
        <f t="shared" ref="V17:V22" si="6">Q17*0.00948</f>
        <v>0</v>
      </c>
      <c r="W17" s="55">
        <f t="shared" ref="W17:W22" si="7">SUM(S17:V17)</f>
        <v>0</v>
      </c>
      <c r="X17" s="30"/>
      <c r="Y17" s="30"/>
      <c r="Z17" s="38"/>
    </row>
    <row r="18" spans="1:26" ht="54.75" customHeight="1" thickBot="1" x14ac:dyDescent="0.25">
      <c r="A18" s="28">
        <v>11</v>
      </c>
      <c r="B18" s="29"/>
      <c r="C18" s="35"/>
      <c r="D18" s="82"/>
      <c r="E18" s="125"/>
      <c r="F18" s="125"/>
      <c r="G18" s="125"/>
      <c r="H18" s="125"/>
      <c r="I18" s="126"/>
      <c r="J18" s="126"/>
      <c r="K18" s="126"/>
      <c r="L18" s="126"/>
      <c r="M18" s="126"/>
      <c r="N18" s="126"/>
      <c r="O18" s="126"/>
      <c r="P18" s="71"/>
      <c r="Q18" s="55"/>
      <c r="R18" s="79">
        <f t="shared" si="4"/>
        <v>0</v>
      </c>
      <c r="S18" s="32">
        <f t="shared" si="5"/>
        <v>0</v>
      </c>
      <c r="T18" s="72"/>
      <c r="U18" s="72"/>
      <c r="V18" s="32">
        <f t="shared" si="6"/>
        <v>0</v>
      </c>
      <c r="W18" s="55">
        <f t="shared" si="7"/>
        <v>0</v>
      </c>
      <c r="X18" s="30"/>
      <c r="Y18" s="30"/>
      <c r="Z18" s="38"/>
    </row>
    <row r="19" spans="1:26" ht="59.25" customHeight="1" thickBot="1" x14ac:dyDescent="0.25">
      <c r="A19" s="28">
        <v>12</v>
      </c>
      <c r="B19" s="29"/>
      <c r="C19" s="35"/>
      <c r="D19" s="82"/>
      <c r="E19" s="125"/>
      <c r="F19" s="125"/>
      <c r="G19" s="125"/>
      <c r="H19" s="125"/>
      <c r="I19" s="126"/>
      <c r="J19" s="126"/>
      <c r="K19" s="126"/>
      <c r="L19" s="126"/>
      <c r="M19" s="126"/>
      <c r="N19" s="126"/>
      <c r="O19" s="126"/>
      <c r="P19" s="71"/>
      <c r="Q19" s="55"/>
      <c r="R19" s="79">
        <f t="shared" si="4"/>
        <v>0</v>
      </c>
      <c r="S19" s="32">
        <f t="shared" si="5"/>
        <v>0</v>
      </c>
      <c r="T19" s="72"/>
      <c r="U19" s="72"/>
      <c r="V19" s="32">
        <f t="shared" si="6"/>
        <v>0</v>
      </c>
      <c r="W19" s="55">
        <f t="shared" si="7"/>
        <v>0</v>
      </c>
      <c r="X19" s="30"/>
      <c r="Y19" s="30"/>
      <c r="Z19" s="38"/>
    </row>
    <row r="20" spans="1:26" ht="21" thickBot="1" x14ac:dyDescent="0.25">
      <c r="A20" s="28">
        <v>13</v>
      </c>
      <c r="B20" s="29"/>
      <c r="C20" s="35"/>
      <c r="D20" s="82"/>
      <c r="E20" s="125"/>
      <c r="F20" s="125"/>
      <c r="G20" s="125"/>
      <c r="H20" s="125"/>
      <c r="I20" s="126"/>
      <c r="J20" s="126"/>
      <c r="K20" s="126"/>
      <c r="L20" s="126"/>
      <c r="M20" s="126"/>
      <c r="N20" s="126"/>
      <c r="O20" s="126"/>
      <c r="P20" s="71"/>
      <c r="Q20" s="55"/>
      <c r="R20" s="79">
        <f t="shared" si="4"/>
        <v>0</v>
      </c>
      <c r="S20" s="32">
        <f t="shared" si="5"/>
        <v>0</v>
      </c>
      <c r="T20" s="72"/>
      <c r="U20" s="72"/>
      <c r="V20" s="32">
        <f t="shared" si="6"/>
        <v>0</v>
      </c>
      <c r="W20" s="55">
        <f t="shared" si="7"/>
        <v>0</v>
      </c>
      <c r="X20" s="30"/>
      <c r="Y20" s="30"/>
      <c r="Z20" s="38"/>
    </row>
    <row r="21" spans="1:26" ht="60.75" customHeight="1" thickBot="1" x14ac:dyDescent="0.25">
      <c r="A21" s="28">
        <v>14</v>
      </c>
      <c r="B21" s="29"/>
      <c r="C21" s="35"/>
      <c r="D21" s="82"/>
      <c r="E21" s="125"/>
      <c r="F21" s="125"/>
      <c r="G21" s="125"/>
      <c r="H21" s="125"/>
      <c r="I21" s="125"/>
      <c r="J21" s="125"/>
      <c r="K21" s="125"/>
      <c r="L21" s="125"/>
      <c r="M21" s="126"/>
      <c r="N21" s="126"/>
      <c r="O21" s="126"/>
      <c r="P21" s="71"/>
      <c r="Q21" s="55"/>
      <c r="R21" s="79">
        <f t="shared" si="4"/>
        <v>0</v>
      </c>
      <c r="S21" s="32">
        <f t="shared" si="5"/>
        <v>0</v>
      </c>
      <c r="T21" s="72"/>
      <c r="U21" s="72"/>
      <c r="V21" s="32">
        <f t="shared" si="6"/>
        <v>0</v>
      </c>
      <c r="W21" s="55">
        <f t="shared" si="7"/>
        <v>0</v>
      </c>
      <c r="X21" s="30"/>
      <c r="Y21" s="30"/>
      <c r="Z21" s="38"/>
    </row>
    <row r="22" spans="1:26" ht="63" customHeight="1" thickBot="1" x14ac:dyDescent="0.25">
      <c r="A22" s="28">
        <v>15</v>
      </c>
      <c r="B22" s="29"/>
      <c r="C22" s="35"/>
      <c r="D22" s="82"/>
      <c r="E22" s="125"/>
      <c r="F22" s="125"/>
      <c r="G22" s="125"/>
      <c r="H22" s="125"/>
      <c r="I22" s="126"/>
      <c r="J22" s="126"/>
      <c r="K22" s="126"/>
      <c r="L22" s="126"/>
      <c r="M22" s="126"/>
      <c r="N22" s="126"/>
      <c r="O22" s="126"/>
      <c r="P22" s="71"/>
      <c r="Q22" s="55"/>
      <c r="R22" s="79">
        <f t="shared" si="4"/>
        <v>0</v>
      </c>
      <c r="S22" s="32">
        <f t="shared" si="5"/>
        <v>0</v>
      </c>
      <c r="T22" s="72"/>
      <c r="U22" s="72"/>
      <c r="V22" s="32">
        <f t="shared" si="6"/>
        <v>0</v>
      </c>
      <c r="W22" s="55">
        <f t="shared" si="7"/>
        <v>0</v>
      </c>
      <c r="X22" s="30"/>
      <c r="Y22" s="30"/>
      <c r="Z22" s="38"/>
    </row>
    <row r="23" spans="1:26" ht="87.75" customHeight="1" thickBot="1" x14ac:dyDescent="0.25">
      <c r="A23" s="28">
        <v>16</v>
      </c>
      <c r="B23" s="29"/>
      <c r="C23" s="35"/>
      <c r="D23" s="99"/>
      <c r="E23" s="125"/>
      <c r="F23" s="125"/>
      <c r="G23" s="125"/>
      <c r="H23" s="125"/>
      <c r="I23" s="126"/>
      <c r="J23" s="126"/>
      <c r="K23" s="126"/>
      <c r="L23" s="126"/>
      <c r="M23" s="126"/>
      <c r="N23" s="126"/>
      <c r="O23" s="126"/>
      <c r="P23" s="71"/>
      <c r="Q23" s="55"/>
      <c r="R23" s="79">
        <f>Q23*0.2</f>
        <v>0</v>
      </c>
      <c r="S23" s="32">
        <f>Q23+R23</f>
        <v>0</v>
      </c>
      <c r="T23" s="72"/>
      <c r="U23" s="72"/>
      <c r="V23" s="32">
        <f>Q23*0.00948</f>
        <v>0</v>
      </c>
      <c r="W23" s="55">
        <f>SUM(S23:V23)</f>
        <v>0</v>
      </c>
      <c r="X23" s="30"/>
      <c r="Y23" s="30"/>
      <c r="Z23" s="38"/>
    </row>
    <row r="24" spans="1:26" ht="42" customHeight="1" thickBot="1" x14ac:dyDescent="0.25">
      <c r="A24" s="28">
        <v>17</v>
      </c>
      <c r="B24" s="29"/>
      <c r="C24" s="35"/>
      <c r="D24" s="99"/>
      <c r="E24" s="87"/>
      <c r="F24" s="103"/>
      <c r="G24" s="103"/>
      <c r="H24" s="88"/>
      <c r="I24" s="89"/>
      <c r="J24" s="90"/>
      <c r="K24" s="90"/>
      <c r="L24" s="91"/>
      <c r="M24" s="89"/>
      <c r="N24" s="90"/>
      <c r="O24" s="91"/>
      <c r="P24" s="71"/>
      <c r="Q24" s="55"/>
      <c r="R24" s="79"/>
      <c r="S24" s="32"/>
      <c r="T24" s="72"/>
      <c r="U24" s="72"/>
      <c r="V24" s="32"/>
      <c r="W24" s="55"/>
      <c r="X24" s="30"/>
      <c r="Y24" s="30"/>
      <c r="Z24" s="38"/>
    </row>
    <row r="25" spans="1:26" ht="42" customHeight="1" thickBot="1" x14ac:dyDescent="0.25">
      <c r="A25" s="28">
        <v>18</v>
      </c>
      <c r="B25" s="29"/>
      <c r="C25" s="35"/>
      <c r="D25" s="99"/>
      <c r="E25" s="87"/>
      <c r="F25" s="103"/>
      <c r="G25" s="103"/>
      <c r="H25" s="88"/>
      <c r="I25" s="89"/>
      <c r="J25" s="90"/>
      <c r="K25" s="90"/>
      <c r="L25" s="91"/>
      <c r="M25" s="89"/>
      <c r="N25" s="90"/>
      <c r="O25" s="91"/>
      <c r="P25" s="71"/>
      <c r="Q25" s="55"/>
      <c r="R25" s="79"/>
      <c r="S25" s="32"/>
      <c r="T25" s="72"/>
      <c r="U25" s="72"/>
      <c r="V25" s="32"/>
      <c r="W25" s="55"/>
      <c r="X25" s="30"/>
      <c r="Y25" s="30"/>
      <c r="Z25" s="38"/>
    </row>
    <row r="26" spans="1:26" ht="42" customHeight="1" thickBot="1" x14ac:dyDescent="0.25">
      <c r="A26" s="28">
        <v>19</v>
      </c>
      <c r="B26" s="29"/>
      <c r="C26" s="35"/>
      <c r="D26" s="99"/>
      <c r="E26" s="87"/>
      <c r="F26" s="103"/>
      <c r="G26" s="103"/>
      <c r="H26" s="88"/>
      <c r="I26" s="89"/>
      <c r="J26" s="90"/>
      <c r="K26" s="90"/>
      <c r="L26" s="91"/>
      <c r="M26" s="89"/>
      <c r="N26" s="90"/>
      <c r="O26" s="91"/>
      <c r="P26" s="71"/>
      <c r="Q26" s="55"/>
      <c r="R26" s="79"/>
      <c r="S26" s="32"/>
      <c r="T26" s="72"/>
      <c r="U26" s="72"/>
      <c r="V26" s="32"/>
      <c r="W26" s="55"/>
      <c r="X26" s="30"/>
      <c r="Y26" s="30"/>
      <c r="Z26" s="38"/>
    </row>
    <row r="27" spans="1:26" ht="42" customHeight="1" thickBot="1" x14ac:dyDescent="0.25">
      <c r="A27" s="28">
        <v>20</v>
      </c>
      <c r="B27" s="29"/>
      <c r="C27" s="35"/>
      <c r="D27" s="99"/>
      <c r="E27" s="87"/>
      <c r="F27" s="103"/>
      <c r="G27" s="103"/>
      <c r="H27" s="88"/>
      <c r="I27" s="89"/>
      <c r="J27" s="90"/>
      <c r="K27" s="90"/>
      <c r="L27" s="91"/>
      <c r="M27" s="89"/>
      <c r="N27" s="90"/>
      <c r="O27" s="91"/>
      <c r="P27" s="71"/>
      <c r="Q27" s="55"/>
      <c r="R27" s="79"/>
      <c r="S27" s="32"/>
      <c r="T27" s="72"/>
      <c r="U27" s="72"/>
      <c r="V27" s="32"/>
      <c r="W27" s="55"/>
      <c r="X27" s="30"/>
      <c r="Y27" s="30"/>
      <c r="Z27" s="38"/>
    </row>
    <row r="28" spans="1:26" ht="42" customHeight="1" thickBot="1" x14ac:dyDescent="0.25">
      <c r="A28" s="28">
        <v>21</v>
      </c>
      <c r="B28" s="29"/>
      <c r="C28" s="35"/>
      <c r="D28" s="99"/>
      <c r="E28" s="87"/>
      <c r="F28" s="103"/>
      <c r="G28" s="103"/>
      <c r="H28" s="88"/>
      <c r="I28" s="89"/>
      <c r="J28" s="90"/>
      <c r="K28" s="90"/>
      <c r="L28" s="91"/>
      <c r="M28" s="89"/>
      <c r="N28" s="90"/>
      <c r="O28" s="91"/>
      <c r="P28" s="71"/>
      <c r="Q28" s="55"/>
      <c r="R28" s="79"/>
      <c r="S28" s="32"/>
      <c r="T28" s="72"/>
      <c r="U28" s="72"/>
      <c r="V28" s="32"/>
      <c r="W28" s="55"/>
      <c r="X28" s="30"/>
      <c r="Y28" s="30"/>
      <c r="Z28" s="38"/>
    </row>
    <row r="29" spans="1:26" ht="42" customHeight="1" thickBot="1" x14ac:dyDescent="0.25">
      <c r="A29" s="28">
        <v>22</v>
      </c>
      <c r="B29" s="29"/>
      <c r="C29" s="35"/>
      <c r="D29" s="99"/>
      <c r="E29" s="87"/>
      <c r="F29" s="103"/>
      <c r="G29" s="103"/>
      <c r="H29" s="88"/>
      <c r="I29" s="89"/>
      <c r="J29" s="90"/>
      <c r="K29" s="90"/>
      <c r="L29" s="91"/>
      <c r="M29" s="89"/>
      <c r="N29" s="90"/>
      <c r="O29" s="91"/>
      <c r="P29" s="71"/>
      <c r="Q29" s="55"/>
      <c r="R29" s="79"/>
      <c r="S29" s="32"/>
      <c r="T29" s="72"/>
      <c r="U29" s="72"/>
      <c r="V29" s="32"/>
      <c r="W29" s="55"/>
      <c r="X29" s="30"/>
      <c r="Y29" s="30"/>
      <c r="Z29" s="38"/>
    </row>
    <row r="30" spans="1:26" ht="42" customHeight="1" thickBot="1" x14ac:dyDescent="0.25">
      <c r="A30" s="28">
        <v>23</v>
      </c>
      <c r="B30" s="29"/>
      <c r="C30" s="35"/>
      <c r="D30" s="99"/>
      <c r="E30" s="127"/>
      <c r="F30" s="176"/>
      <c r="G30" s="176"/>
      <c r="H30" s="128"/>
      <c r="I30" s="131"/>
      <c r="J30" s="132"/>
      <c r="K30" s="132"/>
      <c r="L30" s="133"/>
      <c r="M30" s="131"/>
      <c r="N30" s="132"/>
      <c r="O30" s="133"/>
      <c r="P30" s="71"/>
      <c r="Q30" s="55"/>
      <c r="R30" s="79"/>
      <c r="S30" s="32"/>
      <c r="T30" s="72"/>
      <c r="U30" s="72"/>
      <c r="V30" s="32"/>
      <c r="W30" s="55"/>
      <c r="X30" s="30"/>
      <c r="Y30" s="30"/>
      <c r="Z30" s="38"/>
    </row>
    <row r="31" spans="1:26" ht="42" customHeight="1" thickBot="1" x14ac:dyDescent="0.25">
      <c r="A31" s="28">
        <v>24</v>
      </c>
      <c r="B31" s="29"/>
      <c r="C31" s="35"/>
      <c r="D31" s="99"/>
      <c r="E31" s="87"/>
      <c r="F31" s="103"/>
      <c r="G31" s="103"/>
      <c r="H31" s="88"/>
      <c r="I31" s="89"/>
      <c r="J31" s="90"/>
      <c r="K31" s="90"/>
      <c r="L31" s="91"/>
      <c r="M31" s="89"/>
      <c r="N31" s="90"/>
      <c r="O31" s="91"/>
      <c r="P31" s="71"/>
      <c r="Q31" s="55"/>
      <c r="R31" s="79"/>
      <c r="S31" s="32"/>
      <c r="T31" s="72"/>
      <c r="U31" s="72"/>
      <c r="V31" s="32"/>
      <c r="W31" s="55"/>
      <c r="X31" s="30"/>
      <c r="Y31" s="30"/>
      <c r="Z31" s="38"/>
    </row>
    <row r="32" spans="1:26" ht="42" customHeight="1" thickBot="1" x14ac:dyDescent="0.25">
      <c r="A32" s="28">
        <v>25</v>
      </c>
      <c r="B32" s="29"/>
      <c r="C32" s="35"/>
      <c r="D32" s="82"/>
      <c r="E32" s="125"/>
      <c r="F32" s="125"/>
      <c r="G32" s="125"/>
      <c r="H32" s="125"/>
      <c r="I32" s="126"/>
      <c r="J32" s="126"/>
      <c r="K32" s="126"/>
      <c r="L32" s="126"/>
      <c r="M32" s="126"/>
      <c r="N32" s="126"/>
      <c r="O32" s="126"/>
      <c r="P32" s="71"/>
      <c r="Q32" s="55"/>
      <c r="R32" s="79"/>
      <c r="S32" s="32"/>
      <c r="T32" s="72"/>
      <c r="U32" s="72"/>
      <c r="V32" s="32"/>
      <c r="W32" s="55"/>
      <c r="X32" s="30"/>
      <c r="Y32" s="30"/>
      <c r="Z32" s="38"/>
    </row>
    <row r="33" spans="1:26" ht="69" hidden="1" customHeight="1" x14ac:dyDescent="0.2">
      <c r="A33" s="67">
        <v>11</v>
      </c>
      <c r="B33" s="68"/>
      <c r="C33" s="69"/>
      <c r="D33" s="70"/>
      <c r="E33" s="175"/>
      <c r="F33" s="175"/>
      <c r="G33" s="73"/>
      <c r="H33" s="73"/>
      <c r="I33" s="164"/>
      <c r="J33" s="164"/>
      <c r="K33" s="164"/>
      <c r="L33" s="164"/>
      <c r="M33" s="164"/>
      <c r="N33" s="164"/>
      <c r="O33" s="164"/>
      <c r="P33" s="74"/>
      <c r="Q33" s="55"/>
      <c r="R33" s="79">
        <f t="shared" si="3"/>
        <v>0</v>
      </c>
      <c r="S33" s="32">
        <f t="shared" si="0"/>
        <v>0</v>
      </c>
      <c r="T33" s="72"/>
      <c r="U33" s="72"/>
      <c r="V33" s="32">
        <f t="shared" si="1"/>
        <v>0</v>
      </c>
      <c r="W33" s="55">
        <f t="shared" si="2"/>
        <v>0</v>
      </c>
      <c r="X33" s="30"/>
      <c r="Y33" s="30"/>
      <c r="Z33" s="38"/>
    </row>
    <row r="34" spans="1:26" ht="69.75" hidden="1" customHeight="1" x14ac:dyDescent="0.2">
      <c r="A34" s="67">
        <v>12</v>
      </c>
      <c r="B34" s="68"/>
      <c r="C34" s="69"/>
      <c r="D34" s="70"/>
      <c r="E34" s="166"/>
      <c r="F34" s="167"/>
      <c r="G34" s="75"/>
      <c r="H34" s="75"/>
      <c r="I34" s="168"/>
      <c r="J34" s="169"/>
      <c r="K34" s="169"/>
      <c r="L34" s="170"/>
      <c r="M34" s="168"/>
      <c r="N34" s="169"/>
      <c r="O34" s="170"/>
      <c r="P34" s="74"/>
      <c r="Q34" s="81"/>
      <c r="R34" s="79">
        <f t="shared" si="3"/>
        <v>0</v>
      </c>
      <c r="S34" s="32">
        <f t="shared" si="0"/>
        <v>0</v>
      </c>
      <c r="T34" s="72"/>
      <c r="U34" s="72"/>
      <c r="V34" s="32">
        <f t="shared" si="1"/>
        <v>0</v>
      </c>
      <c r="W34" s="55">
        <f t="shared" si="2"/>
        <v>0</v>
      </c>
      <c r="X34" s="37"/>
      <c r="Y34" s="30"/>
      <c r="Z34" s="38"/>
    </row>
    <row r="35" spans="1:26" ht="69.75" hidden="1" customHeight="1" x14ac:dyDescent="0.2">
      <c r="A35" s="172" t="s">
        <v>6</v>
      </c>
      <c r="B35" s="173"/>
      <c r="C35" s="173"/>
      <c r="D35" s="173"/>
      <c r="E35" s="173"/>
      <c r="F35" s="173"/>
      <c r="G35" s="173"/>
      <c r="H35" s="173"/>
      <c r="I35" s="173"/>
      <c r="J35" s="173"/>
      <c r="K35" s="173"/>
      <c r="L35" s="173"/>
      <c r="M35" s="173"/>
      <c r="N35" s="173"/>
      <c r="O35" s="173"/>
      <c r="P35" s="173"/>
      <c r="Q35" s="66">
        <f>Q8+Q9+Q10+Q11+Q12+Q13+Q14+Q15+Q16+Q32+Q33+Q34</f>
        <v>0</v>
      </c>
      <c r="R35" s="52">
        <f>SUM(R8:R34)</f>
        <v>0</v>
      </c>
      <c r="S35" s="52">
        <f>S8+S9+S10+S11+S12+S13+S14+S15+S16+S32+S33+S34</f>
        <v>0</v>
      </c>
      <c r="T35" s="77" t="s">
        <v>30</v>
      </c>
      <c r="U35" s="76"/>
      <c r="V35" s="52">
        <f>V8+V9+V10+V11+V12+V13+V14+V15+V16+V32+V33+V34</f>
        <v>0</v>
      </c>
      <c r="W35" s="66">
        <f>W8+W9+W10+W11+W12+W13+W14+W15+W16+W32+W33+W34</f>
        <v>0</v>
      </c>
      <c r="X35" s="52" t="s">
        <v>30</v>
      </c>
      <c r="Y35" s="53" t="s">
        <v>30</v>
      </c>
      <c r="Z35" s="54"/>
    </row>
    <row r="36" spans="1:26" ht="70.5" hidden="1" customHeight="1" x14ac:dyDescent="0.2">
      <c r="A36" s="67">
        <v>10</v>
      </c>
      <c r="B36" s="68"/>
      <c r="C36" s="69"/>
      <c r="D36" s="70" t="s">
        <v>33</v>
      </c>
      <c r="E36" s="171"/>
      <c r="F36" s="171"/>
      <c r="G36" s="73"/>
      <c r="H36" s="73"/>
      <c r="I36" s="165"/>
      <c r="J36" s="165"/>
      <c r="K36" s="165"/>
      <c r="L36" s="165"/>
      <c r="M36" s="165"/>
      <c r="N36" s="165"/>
      <c r="O36" s="165"/>
      <c r="P36" s="71"/>
      <c r="Q36" s="55"/>
      <c r="R36" s="80">
        <f t="shared" ref="R36:R39" si="8">Q36*0.18</f>
        <v>0</v>
      </c>
      <c r="S36" s="55">
        <f t="shared" ref="S36:S39" si="9">Q36+R36</f>
        <v>0</v>
      </c>
      <c r="T36" s="78"/>
      <c r="U36" s="72"/>
      <c r="V36" s="56">
        <f t="shared" ref="V36:V39" si="10">Q36*0.00948</f>
        <v>0</v>
      </c>
      <c r="W36" s="55">
        <f t="shared" ref="W36:W39" si="11">S36+V36</f>
        <v>0</v>
      </c>
      <c r="X36" s="37"/>
      <c r="Y36" s="64"/>
      <c r="Z36" s="29"/>
    </row>
    <row r="37" spans="1:26" ht="69" hidden="1" customHeight="1" x14ac:dyDescent="0.2">
      <c r="A37" s="67">
        <v>11</v>
      </c>
      <c r="B37" s="68"/>
      <c r="C37" s="69"/>
      <c r="D37" s="70" t="s">
        <v>33</v>
      </c>
      <c r="E37" s="171"/>
      <c r="F37" s="171"/>
      <c r="G37" s="73"/>
      <c r="H37" s="73"/>
      <c r="I37" s="165"/>
      <c r="J37" s="165"/>
      <c r="K37" s="165"/>
      <c r="L37" s="165"/>
      <c r="M37" s="165"/>
      <c r="N37" s="165"/>
      <c r="O37" s="165"/>
      <c r="P37" s="71"/>
      <c r="Q37" s="55"/>
      <c r="R37" s="80">
        <f t="shared" si="8"/>
        <v>0</v>
      </c>
      <c r="S37" s="55">
        <f t="shared" si="9"/>
        <v>0</v>
      </c>
      <c r="T37" s="72"/>
      <c r="U37" s="72"/>
      <c r="V37" s="56">
        <f t="shared" si="10"/>
        <v>0</v>
      </c>
      <c r="W37" s="55">
        <f t="shared" si="11"/>
        <v>0</v>
      </c>
      <c r="X37" s="37"/>
      <c r="Y37" s="30"/>
      <c r="Z37" s="29"/>
    </row>
    <row r="38" spans="1:26" ht="69.75" hidden="1" customHeight="1" x14ac:dyDescent="0.2">
      <c r="A38" s="67">
        <v>12</v>
      </c>
      <c r="B38" s="68"/>
      <c r="C38" s="69"/>
      <c r="D38" s="70" t="s">
        <v>33</v>
      </c>
      <c r="E38" s="171"/>
      <c r="F38" s="171"/>
      <c r="G38" s="73"/>
      <c r="H38" s="73"/>
      <c r="I38" s="165"/>
      <c r="J38" s="165"/>
      <c r="K38" s="165"/>
      <c r="L38" s="165"/>
      <c r="M38" s="165"/>
      <c r="N38" s="165"/>
      <c r="O38" s="165"/>
      <c r="P38" s="71"/>
      <c r="Q38" s="55"/>
      <c r="R38" s="80">
        <f t="shared" si="8"/>
        <v>0</v>
      </c>
      <c r="S38" s="55">
        <f t="shared" si="9"/>
        <v>0</v>
      </c>
      <c r="T38" s="78"/>
      <c r="U38" s="72"/>
      <c r="V38" s="56">
        <f t="shared" si="10"/>
        <v>0</v>
      </c>
      <c r="W38" s="55">
        <f t="shared" si="11"/>
        <v>0</v>
      </c>
      <c r="X38" s="37"/>
      <c r="Y38" s="30"/>
      <c r="Z38" s="29"/>
    </row>
    <row r="39" spans="1:26" ht="13.5" hidden="1" customHeight="1" x14ac:dyDescent="0.2">
      <c r="A39" s="67">
        <v>13</v>
      </c>
      <c r="B39" s="68"/>
      <c r="C39" s="69"/>
      <c r="D39" s="70" t="s">
        <v>33</v>
      </c>
      <c r="E39" s="171"/>
      <c r="F39" s="171"/>
      <c r="G39" s="73"/>
      <c r="H39" s="73"/>
      <c r="I39" s="165"/>
      <c r="J39" s="165"/>
      <c r="K39" s="165"/>
      <c r="L39" s="165"/>
      <c r="M39" s="165"/>
      <c r="N39" s="165"/>
      <c r="O39" s="165"/>
      <c r="P39" s="71"/>
      <c r="Q39" s="55"/>
      <c r="R39" s="80">
        <f t="shared" si="8"/>
        <v>0</v>
      </c>
      <c r="S39" s="55">
        <f t="shared" si="9"/>
        <v>0</v>
      </c>
      <c r="T39" s="72"/>
      <c r="U39" s="72"/>
      <c r="V39" s="56">
        <f t="shared" si="10"/>
        <v>0</v>
      </c>
      <c r="W39" s="55">
        <f t="shared" si="11"/>
        <v>0</v>
      </c>
      <c r="X39" s="37"/>
      <c r="Y39" s="30"/>
      <c r="Z39" s="29"/>
    </row>
    <row r="40" spans="1:26" ht="69" customHeight="1" thickBot="1" x14ac:dyDescent="0.25">
      <c r="A40" s="174" t="s">
        <v>6</v>
      </c>
      <c r="B40" s="174"/>
      <c r="C40" s="174"/>
      <c r="D40" s="174"/>
      <c r="E40" s="174"/>
      <c r="F40" s="174"/>
      <c r="G40" s="174"/>
      <c r="H40" s="174"/>
      <c r="I40" s="174"/>
      <c r="J40" s="174"/>
      <c r="K40" s="174"/>
      <c r="L40" s="174"/>
      <c r="M40" s="174"/>
      <c r="N40" s="174"/>
      <c r="O40" s="174"/>
      <c r="P40" s="174"/>
      <c r="Q40" s="55">
        <f>Q8+Q9+Q10+Q11+Q12+Q13+Q14+Q15+Q16+Q17+Q18+Q32+Q33+Q34+Q35+Q36+Q37+Q38+Q39</f>
        <v>0</v>
      </c>
      <c r="R40" s="32">
        <f>R8+R9+R10+R11+R12+R13+R14+R15+R16+R17+R18+R32+R33+R34+R35+R36+R37+R38+R39</f>
        <v>0</v>
      </c>
      <c r="S40" s="55">
        <f>S8+S9+S10+S11+S12+S13+S14+S15+S16+S17+S18+S32+S33+S34+S35+S36+S37+S38+S39</f>
        <v>0</v>
      </c>
      <c r="T40" s="73"/>
      <c r="U40" s="72"/>
      <c r="V40" s="56">
        <f>SUM(V8:V39)</f>
        <v>0</v>
      </c>
      <c r="W40" s="55">
        <f>SUM(W8:W39)</f>
        <v>0</v>
      </c>
      <c r="X40" s="32"/>
      <c r="Y40" s="30"/>
      <c r="Z40" s="34"/>
    </row>
    <row r="41" spans="1:26" ht="50.25" customHeight="1" thickBot="1" x14ac:dyDescent="0.4">
      <c r="A41" s="152" t="s">
        <v>28</v>
      </c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3" t="s">
        <v>11</v>
      </c>
      <c r="U41" s="153"/>
      <c r="V41" s="153"/>
      <c r="W41" s="151" t="s">
        <v>35</v>
      </c>
      <c r="X41" s="151"/>
      <c r="Y41" s="151"/>
      <c r="Z41" s="151"/>
    </row>
    <row r="42" spans="1:26" ht="47.25" customHeight="1" thickBot="1" x14ac:dyDescent="0.4">
      <c r="A42" s="152" t="s">
        <v>29</v>
      </c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3" t="s">
        <v>12</v>
      </c>
      <c r="U42" s="153"/>
      <c r="V42" s="153"/>
      <c r="W42" s="156" t="s">
        <v>34</v>
      </c>
      <c r="X42" s="156"/>
      <c r="Y42" s="156"/>
      <c r="Z42" s="156"/>
    </row>
    <row r="43" spans="1:26" ht="39" customHeight="1" thickBot="1" x14ac:dyDescent="0.4">
      <c r="A43" s="157"/>
      <c r="B43" s="157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3" t="s">
        <v>13</v>
      </c>
      <c r="U43" s="153"/>
      <c r="V43" s="153"/>
      <c r="W43" s="156" t="s">
        <v>32</v>
      </c>
      <c r="X43" s="156"/>
      <c r="Y43" s="156"/>
      <c r="Z43" s="156"/>
    </row>
    <row r="44" spans="1:26" ht="57.75" customHeight="1" thickBot="1" x14ac:dyDescent="0.45">
      <c r="A44" s="154"/>
      <c r="B44" s="154"/>
      <c r="C44" s="154"/>
      <c r="D44" s="154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3" t="s">
        <v>14</v>
      </c>
      <c r="U44" s="153"/>
      <c r="V44" s="153"/>
      <c r="W44" s="155"/>
      <c r="X44" s="155"/>
      <c r="Y44" s="155"/>
      <c r="Z44" s="155"/>
    </row>
    <row r="45" spans="1:26" ht="15.75" customHeight="1" x14ac:dyDescent="0.2"/>
  </sheetData>
  <mergeCells count="109">
    <mergeCell ref="E23:H23"/>
    <mergeCell ref="I23:L23"/>
    <mergeCell ref="M23:O23"/>
    <mergeCell ref="E30:H30"/>
    <mergeCell ref="I30:L30"/>
    <mergeCell ref="M30:O30"/>
    <mergeCell ref="V5:V6"/>
    <mergeCell ref="W5:W6"/>
    <mergeCell ref="X5:X6"/>
    <mergeCell ref="E17:H17"/>
    <mergeCell ref="I17:L17"/>
    <mergeCell ref="M17:O17"/>
    <mergeCell ref="E18:H18"/>
    <mergeCell ref="I18:L18"/>
    <mergeCell ref="M18:O18"/>
    <mergeCell ref="E21:H21"/>
    <mergeCell ref="I21:L21"/>
    <mergeCell ref="M21:O21"/>
    <mergeCell ref="E22:H22"/>
    <mergeCell ref="I22:L22"/>
    <mergeCell ref="M22:O22"/>
    <mergeCell ref="E19:H19"/>
    <mergeCell ref="I19:L19"/>
    <mergeCell ref="M19:O19"/>
    <mergeCell ref="E14:H14"/>
    <mergeCell ref="I14:L14"/>
    <mergeCell ref="M14:O14"/>
    <mergeCell ref="E9:H9"/>
    <mergeCell ref="I9:L9"/>
    <mergeCell ref="M9:O9"/>
    <mergeCell ref="I11:L11"/>
    <mergeCell ref="M11:O11"/>
    <mergeCell ref="E10:H10"/>
    <mergeCell ref="I10:L10"/>
    <mergeCell ref="M10:O10"/>
    <mergeCell ref="E11:H11"/>
    <mergeCell ref="I12:L12"/>
    <mergeCell ref="M12:O12"/>
    <mergeCell ref="A40:P40"/>
    <mergeCell ref="A41:S41"/>
    <mergeCell ref="E38:F38"/>
    <mergeCell ref="I38:L38"/>
    <mergeCell ref="M38:O38"/>
    <mergeCell ref="E39:F39"/>
    <mergeCell ref="I39:L39"/>
    <mergeCell ref="M39:O39"/>
    <mergeCell ref="A5:A6"/>
    <mergeCell ref="B5:B6"/>
    <mergeCell ref="C5:C6"/>
    <mergeCell ref="D5:D6"/>
    <mergeCell ref="E5:H6"/>
    <mergeCell ref="E15:H15"/>
    <mergeCell ref="I15:L15"/>
    <mergeCell ref="M15:O15"/>
    <mergeCell ref="E16:H16"/>
    <mergeCell ref="I16:L16"/>
    <mergeCell ref="M16:O16"/>
    <mergeCell ref="E12:H12"/>
    <mergeCell ref="I32:L32"/>
    <mergeCell ref="M32:O32"/>
    <mergeCell ref="E33:F33"/>
    <mergeCell ref="I33:L33"/>
    <mergeCell ref="A44:S44"/>
    <mergeCell ref="T44:V44"/>
    <mergeCell ref="W44:Z44"/>
    <mergeCell ref="W41:Z41"/>
    <mergeCell ref="A42:S42"/>
    <mergeCell ref="T42:V42"/>
    <mergeCell ref="W42:Z42"/>
    <mergeCell ref="A43:S43"/>
    <mergeCell ref="T43:V43"/>
    <mergeCell ref="W43:Z43"/>
    <mergeCell ref="T41:V41"/>
    <mergeCell ref="M33:O33"/>
    <mergeCell ref="E32:H32"/>
    <mergeCell ref="M37:O37"/>
    <mergeCell ref="E34:F34"/>
    <mergeCell ref="I34:L34"/>
    <mergeCell ref="M34:O34"/>
    <mergeCell ref="E36:F36"/>
    <mergeCell ref="I36:L36"/>
    <mergeCell ref="M36:O36"/>
    <mergeCell ref="E37:F37"/>
    <mergeCell ref="I37:L37"/>
    <mergeCell ref="A35:P35"/>
    <mergeCell ref="E20:H20"/>
    <mergeCell ref="I20:L20"/>
    <mergeCell ref="M20:O20"/>
    <mergeCell ref="A1:Z1"/>
    <mergeCell ref="A2:Z4"/>
    <mergeCell ref="E8:H8"/>
    <mergeCell ref="I8:L8"/>
    <mergeCell ref="M8:O8"/>
    <mergeCell ref="I7:L7"/>
    <mergeCell ref="M7:O7"/>
    <mergeCell ref="E7:H7"/>
    <mergeCell ref="S5:S6"/>
    <mergeCell ref="T5:T6"/>
    <mergeCell ref="U5:U6"/>
    <mergeCell ref="I5:L6"/>
    <mergeCell ref="M5:O6"/>
    <mergeCell ref="P5:P6"/>
    <mergeCell ref="Q5:Q6"/>
    <mergeCell ref="R5:R6"/>
    <mergeCell ref="Y5:Y6"/>
    <mergeCell ref="Z5:Z6"/>
    <mergeCell ref="E13:H13"/>
    <mergeCell ref="I13:L13"/>
    <mergeCell ref="M13:O13"/>
  </mergeCells>
  <phoneticPr fontId="26" type="noConversion"/>
  <pageMargins left="0.70866141732283472" right="0.70866141732283472" top="0.74803149606299213" bottom="0.74803149606299213" header="0.31496062992125984" footer="0.31496062992125984"/>
  <pageSetup paperSize="9" scale="33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yfa3"/>
  <dimension ref="A1:AF45"/>
  <sheetViews>
    <sheetView zoomScale="56" zoomScaleNormal="56" workbookViewId="0">
      <selection activeCell="Q8" sqref="Q8:Q14"/>
    </sheetView>
  </sheetViews>
  <sheetFormatPr defaultRowHeight="12.75" x14ac:dyDescent="0.2"/>
  <cols>
    <col min="1" max="1" width="7.5703125" customWidth="1"/>
    <col min="2" max="2" width="15.140625" style="1" customWidth="1"/>
    <col min="3" max="3" width="10.42578125" style="1" customWidth="1"/>
    <col min="4" max="4" width="9.28515625" style="1" customWidth="1"/>
    <col min="5" max="5" width="17.7109375" style="1" customWidth="1"/>
    <col min="6" max="6" width="23.28515625" style="1" customWidth="1"/>
    <col min="7" max="7" width="8.5703125" style="1" hidden="1" customWidth="1"/>
    <col min="8" max="8" width="10.28515625" style="1" hidden="1" customWidth="1"/>
    <col min="9" max="9" width="5.140625" style="1" customWidth="1"/>
    <col min="10" max="10" width="5.5703125" style="1" customWidth="1"/>
    <col min="11" max="11" width="5" style="1" customWidth="1"/>
    <col min="12" max="12" width="11.7109375" style="1" customWidth="1"/>
    <col min="13" max="13" width="8.42578125" style="1" customWidth="1"/>
    <col min="14" max="14" width="8" style="1" customWidth="1"/>
    <col min="15" max="15" width="10.28515625" style="1" customWidth="1"/>
    <col min="16" max="16" width="20" style="1" customWidth="1"/>
    <col min="17" max="17" width="19.5703125" style="1" bestFit="1" customWidth="1"/>
    <col min="18" max="18" width="16" style="1" bestFit="1" customWidth="1"/>
    <col min="19" max="19" width="19.5703125" style="1" bestFit="1" customWidth="1"/>
    <col min="20" max="20" width="17.28515625" style="1" customWidth="1"/>
    <col min="21" max="21" width="13.42578125" style="1" customWidth="1"/>
    <col min="22" max="22" width="13.85546875" style="1" customWidth="1"/>
    <col min="23" max="23" width="17.5703125" style="1" customWidth="1"/>
    <col min="24" max="24" width="24" style="1" customWidth="1"/>
    <col min="25" max="25" width="22.28515625" style="1" customWidth="1"/>
    <col min="26" max="26" width="26.7109375" style="1" bestFit="1" customWidth="1"/>
  </cols>
  <sheetData>
    <row r="1" spans="1:32" ht="43.5" customHeight="1" x14ac:dyDescent="0.4">
      <c r="A1" s="134" t="s">
        <v>10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6"/>
    </row>
    <row r="2" spans="1:32" ht="37.5" customHeight="1" x14ac:dyDescent="0.2">
      <c r="A2" s="137" t="s">
        <v>100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9"/>
    </row>
    <row r="3" spans="1:32" ht="30" customHeight="1" x14ac:dyDescent="0.2">
      <c r="A3" s="137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9"/>
    </row>
    <row r="4" spans="1:32" ht="36" customHeight="1" thickBot="1" x14ac:dyDescent="0.25">
      <c r="A4" s="137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9"/>
    </row>
    <row r="5" spans="1:32" s="3" customFormat="1" ht="68.25" customHeight="1" x14ac:dyDescent="0.3">
      <c r="A5" s="217" t="s">
        <v>9</v>
      </c>
      <c r="B5" s="200" t="s">
        <v>1</v>
      </c>
      <c r="C5" s="200" t="s">
        <v>2</v>
      </c>
      <c r="D5" s="200" t="s">
        <v>15</v>
      </c>
      <c r="E5" s="202" t="s">
        <v>5</v>
      </c>
      <c r="F5" s="203"/>
      <c r="G5" s="203"/>
      <c r="H5" s="204"/>
      <c r="I5" s="208" t="s">
        <v>16</v>
      </c>
      <c r="J5" s="209"/>
      <c r="K5" s="209"/>
      <c r="L5" s="210"/>
      <c r="M5" s="208" t="s">
        <v>3</v>
      </c>
      <c r="N5" s="209"/>
      <c r="O5" s="210"/>
      <c r="P5" s="200" t="s">
        <v>17</v>
      </c>
      <c r="Q5" s="200" t="s">
        <v>22</v>
      </c>
      <c r="R5" s="200" t="s">
        <v>75</v>
      </c>
      <c r="S5" s="200" t="s">
        <v>26</v>
      </c>
      <c r="T5" s="200" t="s">
        <v>27</v>
      </c>
      <c r="U5" s="200" t="s">
        <v>31</v>
      </c>
      <c r="V5" s="200" t="s">
        <v>18</v>
      </c>
      <c r="W5" s="200" t="s">
        <v>0</v>
      </c>
      <c r="X5" s="200" t="s">
        <v>8</v>
      </c>
      <c r="Y5" s="200" t="s">
        <v>7</v>
      </c>
      <c r="Z5" s="200" t="s">
        <v>4</v>
      </c>
    </row>
    <row r="6" spans="1:32" s="3" customFormat="1" ht="114" customHeight="1" thickBot="1" x14ac:dyDescent="0.35">
      <c r="A6" s="218"/>
      <c r="B6" s="201"/>
      <c r="C6" s="201"/>
      <c r="D6" s="201"/>
      <c r="E6" s="205"/>
      <c r="F6" s="206"/>
      <c r="G6" s="206"/>
      <c r="H6" s="207"/>
      <c r="I6" s="211"/>
      <c r="J6" s="212"/>
      <c r="K6" s="212"/>
      <c r="L6" s="213"/>
      <c r="M6" s="211"/>
      <c r="N6" s="212"/>
      <c r="O6" s="213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1"/>
      <c r="AA6" s="4"/>
      <c r="AB6" s="4"/>
      <c r="AC6" s="4"/>
      <c r="AD6" s="4"/>
      <c r="AE6" s="4"/>
      <c r="AF6" s="4"/>
    </row>
    <row r="7" spans="1:32" s="3" customFormat="1" ht="39" customHeight="1" thickBot="1" x14ac:dyDescent="0.35">
      <c r="A7" s="58"/>
      <c r="B7" s="60"/>
      <c r="C7" s="60"/>
      <c r="D7" s="60"/>
      <c r="E7" s="147"/>
      <c r="F7" s="148"/>
      <c r="G7" s="61"/>
      <c r="H7" s="61"/>
      <c r="I7" s="144"/>
      <c r="J7" s="145"/>
      <c r="K7" s="145"/>
      <c r="L7" s="146"/>
      <c r="M7" s="144"/>
      <c r="N7" s="145"/>
      <c r="O7" s="146"/>
      <c r="P7" s="60"/>
      <c r="Q7" s="60" t="s">
        <v>19</v>
      </c>
      <c r="R7" s="60" t="s">
        <v>20</v>
      </c>
      <c r="S7" s="60" t="s">
        <v>21</v>
      </c>
      <c r="T7" s="60" t="s">
        <v>24</v>
      </c>
      <c r="U7" s="60" t="s">
        <v>23</v>
      </c>
      <c r="V7" s="60"/>
      <c r="W7" s="60" t="s">
        <v>25</v>
      </c>
      <c r="X7" s="60"/>
      <c r="Y7" s="60"/>
      <c r="Z7" s="60"/>
      <c r="AA7" s="4"/>
      <c r="AB7" s="4"/>
      <c r="AC7" s="4"/>
      <c r="AD7" s="4"/>
      <c r="AE7" s="4"/>
      <c r="AF7" s="4"/>
    </row>
    <row r="8" spans="1:32" ht="87.75" customHeight="1" thickBot="1" x14ac:dyDescent="0.35">
      <c r="A8" s="28">
        <v>1</v>
      </c>
      <c r="B8" s="29"/>
      <c r="C8" s="35"/>
      <c r="D8" s="59"/>
      <c r="E8" s="198"/>
      <c r="F8" s="199"/>
      <c r="G8" s="44"/>
      <c r="H8" s="44"/>
      <c r="I8" s="214"/>
      <c r="J8" s="215"/>
      <c r="K8" s="215"/>
      <c r="L8" s="216"/>
      <c r="M8" s="214"/>
      <c r="N8" s="215"/>
      <c r="O8" s="216"/>
      <c r="P8" s="30"/>
      <c r="Q8" s="36"/>
      <c r="R8" s="49">
        <f>Q8*0.2</f>
        <v>0</v>
      </c>
      <c r="S8" s="31">
        <f t="shared" ref="S8" si="0">Q8+R8</f>
        <v>0</v>
      </c>
      <c r="T8" s="32"/>
      <c r="U8" s="31"/>
      <c r="V8" s="31">
        <f>Q8*0.00948</f>
        <v>0</v>
      </c>
      <c r="W8" s="36">
        <f t="shared" ref="W8" si="1">SUM(S8:V8)</f>
        <v>0</v>
      </c>
      <c r="X8" s="37"/>
      <c r="Y8" s="30"/>
      <c r="Z8" s="29"/>
    </row>
    <row r="9" spans="1:32" ht="66.75" customHeight="1" thickBot="1" x14ac:dyDescent="0.25">
      <c r="A9" s="28">
        <v>2</v>
      </c>
      <c r="B9" s="29"/>
      <c r="C9" s="35"/>
      <c r="D9" s="59"/>
      <c r="E9" s="214"/>
      <c r="F9" s="215"/>
      <c r="G9" s="215"/>
      <c r="H9" s="216"/>
      <c r="I9" s="214"/>
      <c r="J9" s="215"/>
      <c r="K9" s="215"/>
      <c r="L9" s="216"/>
      <c r="M9" s="214"/>
      <c r="N9" s="215"/>
      <c r="O9" s="216"/>
      <c r="P9" s="30"/>
      <c r="Q9" s="36"/>
      <c r="R9" s="49">
        <f t="shared" ref="R9:R14" si="2">Q9*0.2</f>
        <v>0</v>
      </c>
      <c r="S9" s="31">
        <f t="shared" ref="S9:S14" si="3">Q9+R9</f>
        <v>0</v>
      </c>
      <c r="T9" s="32"/>
      <c r="U9" s="31"/>
      <c r="V9" s="31">
        <f t="shared" ref="V9:V14" si="4">Q9*0.00948</f>
        <v>0</v>
      </c>
      <c r="W9" s="36">
        <f t="shared" ref="W9:W14" si="5">SUM(S9:V9)</f>
        <v>0</v>
      </c>
      <c r="X9" s="30"/>
      <c r="Y9" s="30"/>
      <c r="Z9" s="29"/>
    </row>
    <row r="10" spans="1:32" ht="87" customHeight="1" thickBot="1" x14ac:dyDescent="0.25">
      <c r="A10" s="28">
        <v>3</v>
      </c>
      <c r="B10" s="29"/>
      <c r="C10" s="35"/>
      <c r="D10" s="59"/>
      <c r="E10" s="214"/>
      <c r="F10" s="215"/>
      <c r="G10" s="215"/>
      <c r="H10" s="216"/>
      <c r="I10" s="214"/>
      <c r="J10" s="215"/>
      <c r="K10" s="215"/>
      <c r="L10" s="216"/>
      <c r="M10" s="214"/>
      <c r="N10" s="215"/>
      <c r="O10" s="216"/>
      <c r="P10" s="30"/>
      <c r="Q10" s="36"/>
      <c r="R10" s="49">
        <f t="shared" si="2"/>
        <v>0</v>
      </c>
      <c r="S10" s="31">
        <f t="shared" si="3"/>
        <v>0</v>
      </c>
      <c r="T10" s="32"/>
      <c r="U10" s="31"/>
      <c r="V10" s="31">
        <f t="shared" si="4"/>
        <v>0</v>
      </c>
      <c r="W10" s="36">
        <f t="shared" si="5"/>
        <v>0</v>
      </c>
      <c r="X10" s="85"/>
      <c r="Y10" s="30"/>
      <c r="Z10" s="29"/>
    </row>
    <row r="11" spans="1:32" ht="86.25" customHeight="1" thickBot="1" x14ac:dyDescent="0.35">
      <c r="A11" s="28">
        <v>4</v>
      </c>
      <c r="B11" s="29"/>
      <c r="C11" s="35"/>
      <c r="D11" s="59"/>
      <c r="E11" s="198"/>
      <c r="F11" s="199"/>
      <c r="G11" s="44"/>
      <c r="H11" s="44"/>
      <c r="I11" s="214"/>
      <c r="J11" s="215"/>
      <c r="K11" s="215"/>
      <c r="L11" s="216"/>
      <c r="M11" s="214"/>
      <c r="N11" s="215"/>
      <c r="O11" s="216"/>
      <c r="P11" s="30"/>
      <c r="Q11" s="36"/>
      <c r="R11" s="49">
        <f t="shared" si="2"/>
        <v>0</v>
      </c>
      <c r="S11" s="31">
        <f t="shared" si="3"/>
        <v>0</v>
      </c>
      <c r="T11" s="32"/>
      <c r="U11" s="31"/>
      <c r="V11" s="31">
        <f t="shared" si="4"/>
        <v>0</v>
      </c>
      <c r="W11" s="36">
        <f t="shared" si="5"/>
        <v>0</v>
      </c>
      <c r="X11" s="30"/>
      <c r="Y11" s="30"/>
      <c r="Z11" s="29"/>
    </row>
    <row r="12" spans="1:32" ht="91.5" customHeight="1" thickBot="1" x14ac:dyDescent="0.35">
      <c r="A12" s="28">
        <v>5</v>
      </c>
      <c r="B12" s="29"/>
      <c r="C12" s="35"/>
      <c r="D12" s="59"/>
      <c r="E12" s="198"/>
      <c r="F12" s="199"/>
      <c r="G12" s="44"/>
      <c r="H12" s="44"/>
      <c r="I12" s="214"/>
      <c r="J12" s="215"/>
      <c r="K12" s="215"/>
      <c r="L12" s="216"/>
      <c r="M12" s="214"/>
      <c r="N12" s="215"/>
      <c r="O12" s="216"/>
      <c r="P12" s="30"/>
      <c r="Q12" s="36"/>
      <c r="R12" s="49">
        <f t="shared" si="2"/>
        <v>0</v>
      </c>
      <c r="S12" s="31">
        <f t="shared" si="3"/>
        <v>0</v>
      </c>
      <c r="T12" s="32"/>
      <c r="U12" s="31"/>
      <c r="V12" s="31">
        <f t="shared" si="4"/>
        <v>0</v>
      </c>
      <c r="W12" s="36">
        <f t="shared" si="5"/>
        <v>0</v>
      </c>
      <c r="X12" s="30"/>
      <c r="Y12" s="30"/>
      <c r="Z12" s="29"/>
    </row>
    <row r="13" spans="1:32" ht="62.25" customHeight="1" thickBot="1" x14ac:dyDescent="0.35">
      <c r="A13" s="28">
        <v>6</v>
      </c>
      <c r="B13" s="29"/>
      <c r="C13" s="35"/>
      <c r="D13" s="59"/>
      <c r="E13" s="198"/>
      <c r="F13" s="199"/>
      <c r="G13" s="44"/>
      <c r="H13" s="44"/>
      <c r="I13" s="214"/>
      <c r="J13" s="215"/>
      <c r="K13" s="215"/>
      <c r="L13" s="216"/>
      <c r="M13" s="214"/>
      <c r="N13" s="215"/>
      <c r="O13" s="216"/>
      <c r="P13" s="30"/>
      <c r="Q13" s="36"/>
      <c r="R13" s="49">
        <f t="shared" si="2"/>
        <v>0</v>
      </c>
      <c r="S13" s="31">
        <f t="shared" si="3"/>
        <v>0</v>
      </c>
      <c r="T13" s="32"/>
      <c r="U13" s="31"/>
      <c r="V13" s="31">
        <f t="shared" si="4"/>
        <v>0</v>
      </c>
      <c r="W13" s="36">
        <f t="shared" si="5"/>
        <v>0</v>
      </c>
      <c r="X13" s="30"/>
      <c r="Y13" s="30"/>
      <c r="Z13" s="29"/>
    </row>
    <row r="14" spans="1:32" ht="62.25" customHeight="1" thickBot="1" x14ac:dyDescent="0.35">
      <c r="A14" s="28">
        <v>7</v>
      </c>
      <c r="B14" s="29"/>
      <c r="C14" s="35"/>
      <c r="D14" s="83"/>
      <c r="E14" s="198"/>
      <c r="F14" s="199"/>
      <c r="G14" s="44"/>
      <c r="H14" s="44"/>
      <c r="I14" s="214"/>
      <c r="J14" s="215"/>
      <c r="K14" s="215"/>
      <c r="L14" s="216"/>
      <c r="M14" s="214"/>
      <c r="N14" s="215"/>
      <c r="O14" s="216"/>
      <c r="P14" s="30"/>
      <c r="Q14" s="36"/>
      <c r="R14" s="49">
        <f t="shared" si="2"/>
        <v>0</v>
      </c>
      <c r="S14" s="31">
        <f t="shared" si="3"/>
        <v>0</v>
      </c>
      <c r="T14" s="32"/>
      <c r="U14" s="31"/>
      <c r="V14" s="31">
        <f t="shared" si="4"/>
        <v>0</v>
      </c>
      <c r="W14" s="36">
        <f t="shared" si="5"/>
        <v>0</v>
      </c>
      <c r="X14" s="30"/>
      <c r="Y14" s="30"/>
      <c r="Z14" s="29"/>
    </row>
    <row r="15" spans="1:32" ht="26.25" customHeight="1" thickBot="1" x14ac:dyDescent="0.35">
      <c r="A15" s="28">
        <v>8</v>
      </c>
      <c r="B15" s="29"/>
      <c r="C15" s="35"/>
      <c r="D15" s="99"/>
      <c r="E15" s="94"/>
      <c r="F15" s="95"/>
      <c r="G15" s="44"/>
      <c r="H15" s="44"/>
      <c r="I15" s="96"/>
      <c r="J15" s="97"/>
      <c r="K15" s="97"/>
      <c r="L15" s="98"/>
      <c r="M15" s="96"/>
      <c r="N15" s="97"/>
      <c r="O15" s="98"/>
      <c r="P15" s="30"/>
      <c r="Q15" s="36"/>
      <c r="R15" s="49"/>
      <c r="S15" s="31"/>
      <c r="T15" s="32"/>
      <c r="U15" s="31"/>
      <c r="V15" s="31"/>
      <c r="W15" s="36"/>
      <c r="X15" s="30"/>
      <c r="Y15" s="30"/>
      <c r="Z15" s="29"/>
    </row>
    <row r="16" spans="1:32" ht="26.25" customHeight="1" thickBot="1" x14ac:dyDescent="0.35">
      <c r="A16" s="28">
        <v>9</v>
      </c>
      <c r="B16" s="29"/>
      <c r="C16" s="35"/>
      <c r="D16" s="99"/>
      <c r="E16" s="94"/>
      <c r="F16" s="95"/>
      <c r="G16" s="44"/>
      <c r="H16" s="44"/>
      <c r="I16" s="96"/>
      <c r="J16" s="97"/>
      <c r="K16" s="97"/>
      <c r="L16" s="98"/>
      <c r="M16" s="96"/>
      <c r="N16" s="97"/>
      <c r="O16" s="98"/>
      <c r="P16" s="30"/>
      <c r="Q16" s="36"/>
      <c r="R16" s="49"/>
      <c r="S16" s="31"/>
      <c r="T16" s="32"/>
      <c r="U16" s="31"/>
      <c r="V16" s="31"/>
      <c r="W16" s="36"/>
      <c r="X16" s="30"/>
      <c r="Y16" s="30"/>
      <c r="Z16" s="29"/>
    </row>
    <row r="17" spans="1:26" ht="26.25" customHeight="1" thickBot="1" x14ac:dyDescent="0.35">
      <c r="A17" s="28">
        <v>10</v>
      </c>
      <c r="B17" s="29"/>
      <c r="C17" s="35"/>
      <c r="D17" s="99"/>
      <c r="E17" s="94"/>
      <c r="F17" s="95"/>
      <c r="G17" s="44"/>
      <c r="H17" s="44"/>
      <c r="I17" s="96"/>
      <c r="J17" s="97"/>
      <c r="K17" s="97"/>
      <c r="L17" s="98"/>
      <c r="M17" s="96"/>
      <c r="N17" s="97"/>
      <c r="O17" s="98"/>
      <c r="P17" s="30"/>
      <c r="Q17" s="36"/>
      <c r="R17" s="49"/>
      <c r="S17" s="31"/>
      <c r="T17" s="32"/>
      <c r="U17" s="31"/>
      <c r="V17" s="31"/>
      <c r="W17" s="36"/>
      <c r="X17" s="30"/>
      <c r="Y17" s="30"/>
      <c r="Z17" s="29"/>
    </row>
    <row r="18" spans="1:26" ht="26.25" customHeight="1" thickBot="1" x14ac:dyDescent="0.35">
      <c r="A18" s="28">
        <v>11</v>
      </c>
      <c r="B18" s="29"/>
      <c r="C18" s="35"/>
      <c r="D18" s="99"/>
      <c r="E18" s="94"/>
      <c r="F18" s="95"/>
      <c r="G18" s="44"/>
      <c r="H18" s="44"/>
      <c r="I18" s="96"/>
      <c r="J18" s="97"/>
      <c r="K18" s="97"/>
      <c r="L18" s="98"/>
      <c r="M18" s="96"/>
      <c r="N18" s="97"/>
      <c r="O18" s="98"/>
      <c r="P18" s="30"/>
      <c r="Q18" s="36"/>
      <c r="R18" s="49"/>
      <c r="S18" s="31"/>
      <c r="T18" s="32"/>
      <c r="U18" s="31"/>
      <c r="V18" s="31"/>
      <c r="W18" s="36"/>
      <c r="X18" s="30"/>
      <c r="Y18" s="30"/>
      <c r="Z18" s="29"/>
    </row>
    <row r="19" spans="1:26" ht="26.25" customHeight="1" thickBot="1" x14ac:dyDescent="0.35">
      <c r="A19" s="28">
        <v>12</v>
      </c>
      <c r="B19" s="29"/>
      <c r="C19" s="35"/>
      <c r="D19" s="99"/>
      <c r="E19" s="94"/>
      <c r="F19" s="95"/>
      <c r="G19" s="44"/>
      <c r="H19" s="44"/>
      <c r="I19" s="96"/>
      <c r="J19" s="97"/>
      <c r="K19" s="97"/>
      <c r="L19" s="98"/>
      <c r="M19" s="96"/>
      <c r="N19" s="97"/>
      <c r="O19" s="98"/>
      <c r="P19" s="30"/>
      <c r="Q19" s="36"/>
      <c r="R19" s="49"/>
      <c r="S19" s="31"/>
      <c r="T19" s="32"/>
      <c r="U19" s="31"/>
      <c r="V19" s="31"/>
      <c r="W19" s="36"/>
      <c r="X19" s="30"/>
      <c r="Y19" s="30"/>
      <c r="Z19" s="29"/>
    </row>
    <row r="20" spans="1:26" ht="26.25" customHeight="1" thickBot="1" x14ac:dyDescent="0.35">
      <c r="A20" s="28">
        <v>13</v>
      </c>
      <c r="B20" s="29"/>
      <c r="C20" s="35"/>
      <c r="D20" s="99"/>
      <c r="E20" s="94"/>
      <c r="F20" s="95"/>
      <c r="G20" s="44"/>
      <c r="H20" s="44"/>
      <c r="I20" s="96"/>
      <c r="J20" s="97"/>
      <c r="K20" s="97"/>
      <c r="L20" s="98"/>
      <c r="M20" s="96"/>
      <c r="N20" s="97"/>
      <c r="O20" s="98"/>
      <c r="P20" s="30"/>
      <c r="Q20" s="36"/>
      <c r="R20" s="49"/>
      <c r="S20" s="31"/>
      <c r="T20" s="32"/>
      <c r="U20" s="31"/>
      <c r="V20" s="31"/>
      <c r="W20" s="36"/>
      <c r="X20" s="30"/>
      <c r="Y20" s="30"/>
      <c r="Z20" s="29"/>
    </row>
    <row r="21" spans="1:26" ht="26.25" customHeight="1" thickBot="1" x14ac:dyDescent="0.35">
      <c r="A21" s="28">
        <v>14</v>
      </c>
      <c r="B21" s="29"/>
      <c r="C21" s="35"/>
      <c r="D21" s="99"/>
      <c r="E21" s="94"/>
      <c r="F21" s="95"/>
      <c r="G21" s="44"/>
      <c r="H21" s="44"/>
      <c r="I21" s="96"/>
      <c r="J21" s="97"/>
      <c r="K21" s="97"/>
      <c r="L21" s="98"/>
      <c r="M21" s="96"/>
      <c r="N21" s="97"/>
      <c r="O21" s="98"/>
      <c r="P21" s="30"/>
      <c r="Q21" s="36"/>
      <c r="R21" s="49"/>
      <c r="S21" s="31"/>
      <c r="T21" s="32"/>
      <c r="U21" s="31"/>
      <c r="V21" s="31"/>
      <c r="W21" s="36"/>
      <c r="X21" s="30"/>
      <c r="Y21" s="30"/>
      <c r="Z21" s="29"/>
    </row>
    <row r="22" spans="1:26" ht="26.25" customHeight="1" thickBot="1" x14ac:dyDescent="0.35">
      <c r="A22" s="28">
        <v>15</v>
      </c>
      <c r="B22" s="29"/>
      <c r="C22" s="35"/>
      <c r="D22" s="99"/>
      <c r="E22" s="94"/>
      <c r="F22" s="95"/>
      <c r="G22" s="44"/>
      <c r="H22" s="44"/>
      <c r="I22" s="96"/>
      <c r="J22" s="97"/>
      <c r="K22" s="97"/>
      <c r="L22" s="98"/>
      <c r="M22" s="96"/>
      <c r="N22" s="97"/>
      <c r="O22" s="98"/>
      <c r="P22" s="30"/>
      <c r="Q22" s="36"/>
      <c r="R22" s="49"/>
      <c r="S22" s="31"/>
      <c r="T22" s="32"/>
      <c r="U22" s="31"/>
      <c r="V22" s="31"/>
      <c r="W22" s="36"/>
      <c r="X22" s="30"/>
      <c r="Y22" s="30"/>
      <c r="Z22" s="29"/>
    </row>
    <row r="23" spans="1:26" ht="26.25" customHeight="1" thickBot="1" x14ac:dyDescent="0.35">
      <c r="A23" s="28">
        <v>16</v>
      </c>
      <c r="B23" s="29"/>
      <c r="C23" s="35"/>
      <c r="D23" s="99"/>
      <c r="E23" s="94"/>
      <c r="F23" s="95"/>
      <c r="G23" s="44"/>
      <c r="H23" s="44"/>
      <c r="I23" s="96"/>
      <c r="J23" s="97"/>
      <c r="K23" s="97"/>
      <c r="L23" s="98"/>
      <c r="M23" s="96"/>
      <c r="N23" s="97"/>
      <c r="O23" s="98"/>
      <c r="P23" s="30"/>
      <c r="Q23" s="36"/>
      <c r="R23" s="49"/>
      <c r="S23" s="31"/>
      <c r="T23" s="32"/>
      <c r="U23" s="31"/>
      <c r="V23" s="31"/>
      <c r="W23" s="36"/>
      <c r="X23" s="30"/>
      <c r="Y23" s="30"/>
      <c r="Z23" s="29"/>
    </row>
    <row r="24" spans="1:26" ht="26.25" customHeight="1" thickBot="1" x14ac:dyDescent="0.35">
      <c r="A24" s="28">
        <v>17</v>
      </c>
      <c r="B24" s="29"/>
      <c r="C24" s="35"/>
      <c r="D24" s="99"/>
      <c r="E24" s="94"/>
      <c r="F24" s="95"/>
      <c r="G24" s="44"/>
      <c r="H24" s="44"/>
      <c r="I24" s="96"/>
      <c r="J24" s="97"/>
      <c r="K24" s="97"/>
      <c r="L24" s="98"/>
      <c r="M24" s="96"/>
      <c r="N24" s="97"/>
      <c r="O24" s="98"/>
      <c r="P24" s="30"/>
      <c r="Q24" s="36"/>
      <c r="R24" s="49"/>
      <c r="S24" s="31"/>
      <c r="T24" s="32"/>
      <c r="U24" s="31"/>
      <c r="V24" s="31"/>
      <c r="W24" s="36"/>
      <c r="X24" s="30"/>
      <c r="Y24" s="30"/>
      <c r="Z24" s="29"/>
    </row>
    <row r="25" spans="1:26" ht="26.25" customHeight="1" thickBot="1" x14ac:dyDescent="0.35">
      <c r="A25" s="28">
        <v>18</v>
      </c>
      <c r="B25" s="29"/>
      <c r="C25" s="35"/>
      <c r="D25" s="99"/>
      <c r="E25" s="94"/>
      <c r="F25" s="95"/>
      <c r="G25" s="44"/>
      <c r="H25" s="44"/>
      <c r="I25" s="96"/>
      <c r="J25" s="97"/>
      <c r="K25" s="97"/>
      <c r="L25" s="98"/>
      <c r="M25" s="96"/>
      <c r="N25" s="97"/>
      <c r="O25" s="98"/>
      <c r="P25" s="30"/>
      <c r="Q25" s="36"/>
      <c r="R25" s="49"/>
      <c r="S25" s="31"/>
      <c r="T25" s="32"/>
      <c r="U25" s="31"/>
      <c r="V25" s="31"/>
      <c r="W25" s="36"/>
      <c r="X25" s="30"/>
      <c r="Y25" s="30"/>
      <c r="Z25" s="29"/>
    </row>
    <row r="26" spans="1:26" ht="26.25" customHeight="1" thickBot="1" x14ac:dyDescent="0.35">
      <c r="A26" s="28">
        <v>19</v>
      </c>
      <c r="B26" s="29"/>
      <c r="C26" s="35"/>
      <c r="D26" s="99"/>
      <c r="E26" s="94"/>
      <c r="F26" s="95"/>
      <c r="G26" s="44"/>
      <c r="H26" s="44"/>
      <c r="I26" s="96"/>
      <c r="J26" s="97"/>
      <c r="K26" s="97"/>
      <c r="L26" s="98"/>
      <c r="M26" s="96"/>
      <c r="N26" s="97"/>
      <c r="O26" s="98"/>
      <c r="P26" s="30"/>
      <c r="Q26" s="36"/>
      <c r="R26" s="49"/>
      <c r="S26" s="31"/>
      <c r="T26" s="32"/>
      <c r="U26" s="31"/>
      <c r="V26" s="31"/>
      <c r="W26" s="36"/>
      <c r="X26" s="30"/>
      <c r="Y26" s="30"/>
      <c r="Z26" s="29"/>
    </row>
    <row r="27" spans="1:26" ht="26.25" customHeight="1" thickBot="1" x14ac:dyDescent="0.35">
      <c r="A27" s="28">
        <v>20</v>
      </c>
      <c r="B27" s="29"/>
      <c r="C27" s="35"/>
      <c r="D27" s="99"/>
      <c r="E27" s="94"/>
      <c r="F27" s="95"/>
      <c r="G27" s="44"/>
      <c r="H27" s="44"/>
      <c r="I27" s="96"/>
      <c r="J27" s="97"/>
      <c r="K27" s="97"/>
      <c r="L27" s="98"/>
      <c r="M27" s="96"/>
      <c r="N27" s="97"/>
      <c r="O27" s="98"/>
      <c r="P27" s="30"/>
      <c r="Q27" s="36"/>
      <c r="R27" s="49"/>
      <c r="S27" s="31"/>
      <c r="T27" s="32"/>
      <c r="U27" s="31"/>
      <c r="V27" s="31"/>
      <c r="W27" s="36"/>
      <c r="X27" s="30"/>
      <c r="Y27" s="30"/>
      <c r="Z27" s="29"/>
    </row>
    <row r="28" spans="1:26" ht="26.25" customHeight="1" thickBot="1" x14ac:dyDescent="0.35">
      <c r="A28" s="28">
        <v>21</v>
      </c>
      <c r="B28" s="29"/>
      <c r="C28" s="35"/>
      <c r="D28" s="99"/>
      <c r="E28" s="94"/>
      <c r="F28" s="95"/>
      <c r="G28" s="44"/>
      <c r="H28" s="44"/>
      <c r="I28" s="96"/>
      <c r="J28" s="97"/>
      <c r="K28" s="97"/>
      <c r="L28" s="98"/>
      <c r="M28" s="96"/>
      <c r="N28" s="97"/>
      <c r="O28" s="98"/>
      <c r="P28" s="30"/>
      <c r="Q28" s="36"/>
      <c r="R28" s="49"/>
      <c r="S28" s="31"/>
      <c r="T28" s="32"/>
      <c r="U28" s="31"/>
      <c r="V28" s="31"/>
      <c r="W28" s="36"/>
      <c r="X28" s="30"/>
      <c r="Y28" s="30"/>
      <c r="Z28" s="29"/>
    </row>
    <row r="29" spans="1:26" ht="26.25" customHeight="1" thickBot="1" x14ac:dyDescent="0.35">
      <c r="A29" s="28">
        <v>22</v>
      </c>
      <c r="B29" s="29"/>
      <c r="C29" s="35"/>
      <c r="D29" s="99"/>
      <c r="E29" s="94"/>
      <c r="F29" s="95"/>
      <c r="G29" s="44"/>
      <c r="H29" s="44"/>
      <c r="I29" s="96"/>
      <c r="J29" s="97"/>
      <c r="K29" s="97"/>
      <c r="L29" s="98"/>
      <c r="M29" s="96"/>
      <c r="N29" s="97"/>
      <c r="O29" s="98"/>
      <c r="P29" s="30"/>
      <c r="Q29" s="36"/>
      <c r="R29" s="49"/>
      <c r="S29" s="31"/>
      <c r="T29" s="32"/>
      <c r="U29" s="31"/>
      <c r="V29" s="31"/>
      <c r="W29" s="36"/>
      <c r="X29" s="30"/>
      <c r="Y29" s="30"/>
      <c r="Z29" s="29"/>
    </row>
    <row r="30" spans="1:26" ht="26.25" customHeight="1" thickBot="1" x14ac:dyDescent="0.35">
      <c r="A30" s="28">
        <v>23</v>
      </c>
      <c r="B30" s="29"/>
      <c r="C30" s="35"/>
      <c r="D30" s="99"/>
      <c r="E30" s="94"/>
      <c r="F30" s="95"/>
      <c r="G30" s="44"/>
      <c r="H30" s="44"/>
      <c r="I30" s="96"/>
      <c r="J30" s="97"/>
      <c r="K30" s="97"/>
      <c r="L30" s="98"/>
      <c r="M30" s="96"/>
      <c r="N30" s="97"/>
      <c r="O30" s="98"/>
      <c r="P30" s="30"/>
      <c r="Q30" s="36"/>
      <c r="R30" s="49"/>
      <c r="S30" s="31"/>
      <c r="T30" s="32"/>
      <c r="U30" s="31"/>
      <c r="V30" s="31"/>
      <c r="W30" s="36"/>
      <c r="X30" s="30"/>
      <c r="Y30" s="30"/>
      <c r="Z30" s="29"/>
    </row>
    <row r="31" spans="1:26" ht="26.25" customHeight="1" thickBot="1" x14ac:dyDescent="0.35">
      <c r="A31" s="28">
        <v>24</v>
      </c>
      <c r="B31" s="29"/>
      <c r="C31" s="35"/>
      <c r="D31" s="99"/>
      <c r="E31" s="94"/>
      <c r="F31" s="95"/>
      <c r="G31" s="44"/>
      <c r="H31" s="44"/>
      <c r="I31" s="96"/>
      <c r="J31" s="97"/>
      <c r="K31" s="97"/>
      <c r="L31" s="98"/>
      <c r="M31" s="96"/>
      <c r="N31" s="97"/>
      <c r="O31" s="98"/>
      <c r="P31" s="30"/>
      <c r="Q31" s="36"/>
      <c r="R31" s="49"/>
      <c r="S31" s="31"/>
      <c r="T31" s="32"/>
      <c r="U31" s="31"/>
      <c r="V31" s="31"/>
      <c r="W31" s="36"/>
      <c r="X31" s="30"/>
      <c r="Y31" s="30"/>
      <c r="Z31" s="29"/>
    </row>
    <row r="32" spans="1:26" ht="26.25" customHeight="1" thickBot="1" x14ac:dyDescent="0.35">
      <c r="A32" s="28">
        <v>25</v>
      </c>
      <c r="B32" s="29"/>
      <c r="C32" s="35"/>
      <c r="D32" s="99"/>
      <c r="E32" s="94"/>
      <c r="F32" s="95"/>
      <c r="G32" s="44"/>
      <c r="H32" s="44"/>
      <c r="I32" s="96"/>
      <c r="J32" s="97"/>
      <c r="K32" s="97"/>
      <c r="L32" s="98"/>
      <c r="M32" s="96"/>
      <c r="N32" s="97"/>
      <c r="O32" s="98"/>
      <c r="P32" s="30"/>
      <c r="Q32" s="36"/>
      <c r="R32" s="49"/>
      <c r="S32" s="31"/>
      <c r="T32" s="32"/>
      <c r="U32" s="31"/>
      <c r="V32" s="31"/>
      <c r="W32" s="36"/>
      <c r="X32" s="30"/>
      <c r="Y32" s="30"/>
      <c r="Z32" s="29"/>
    </row>
    <row r="33" spans="1:26" ht="79.5" customHeight="1" thickBot="1" x14ac:dyDescent="0.25">
      <c r="A33" s="195" t="s">
        <v>6</v>
      </c>
      <c r="B33" s="196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7"/>
      <c r="Q33" s="36">
        <f>SUM(Q8:Q32)</f>
        <v>0</v>
      </c>
      <c r="R33" s="31">
        <f>SUM(R8:R32)</f>
        <v>0</v>
      </c>
      <c r="S33" s="31">
        <f>SUM(S8:S32)</f>
        <v>0</v>
      </c>
      <c r="T33" s="33" t="s">
        <v>30</v>
      </c>
      <c r="U33" s="31"/>
      <c r="V33" s="31">
        <f>SUM(V8:V32)</f>
        <v>0</v>
      </c>
      <c r="W33" s="36">
        <f>SUM(W8:W32)</f>
        <v>0</v>
      </c>
      <c r="X33" s="32"/>
      <c r="Y33" s="30"/>
      <c r="Z33" s="34"/>
    </row>
    <row r="34" spans="1:26" ht="73.5" customHeight="1" thickBot="1" x14ac:dyDescent="0.4">
      <c r="A34" s="183" t="s">
        <v>28</v>
      </c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5"/>
      <c r="T34" s="189" t="s">
        <v>11</v>
      </c>
      <c r="U34" s="190"/>
      <c r="V34" s="191"/>
      <c r="W34" s="192" t="s">
        <v>73</v>
      </c>
      <c r="X34" s="193"/>
      <c r="Y34" s="193"/>
      <c r="Z34" s="194"/>
    </row>
    <row r="35" spans="1:26" ht="69.75" customHeight="1" thickBot="1" x14ac:dyDescent="0.4">
      <c r="A35" s="183" t="s">
        <v>29</v>
      </c>
      <c r="B35" s="184"/>
      <c r="C35" s="184"/>
      <c r="D35" s="184"/>
      <c r="E35" s="184"/>
      <c r="F35" s="184"/>
      <c r="G35" s="184"/>
      <c r="H35" s="184"/>
      <c r="I35" s="184"/>
      <c r="J35" s="184"/>
      <c r="K35" s="184"/>
      <c r="L35" s="184"/>
      <c r="M35" s="184"/>
      <c r="N35" s="184"/>
      <c r="O35" s="184"/>
      <c r="P35" s="184"/>
      <c r="Q35" s="184"/>
      <c r="R35" s="184"/>
      <c r="S35" s="185"/>
      <c r="T35" s="189" t="s">
        <v>12</v>
      </c>
      <c r="U35" s="190"/>
      <c r="V35" s="191"/>
      <c r="W35" s="192" t="s">
        <v>34</v>
      </c>
      <c r="X35" s="193"/>
      <c r="Y35" s="193"/>
      <c r="Z35" s="194"/>
    </row>
    <row r="36" spans="1:26" ht="39" customHeight="1" thickBot="1" x14ac:dyDescent="0.4">
      <c r="A36" s="180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2"/>
      <c r="T36" s="189" t="s">
        <v>13</v>
      </c>
      <c r="U36" s="190"/>
      <c r="V36" s="191"/>
      <c r="W36" s="192" t="s">
        <v>32</v>
      </c>
      <c r="X36" s="193"/>
      <c r="Y36" s="193"/>
      <c r="Z36" s="194"/>
    </row>
    <row r="37" spans="1:26" ht="57.75" customHeight="1" thickBot="1" x14ac:dyDescent="0.45">
      <c r="A37" s="177"/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s="178"/>
      <c r="N37" s="178"/>
      <c r="O37" s="178"/>
      <c r="P37" s="178"/>
      <c r="Q37" s="178"/>
      <c r="R37" s="178"/>
      <c r="S37" s="179"/>
      <c r="T37" s="189" t="s">
        <v>14</v>
      </c>
      <c r="U37" s="190"/>
      <c r="V37" s="191"/>
      <c r="W37" s="186"/>
      <c r="X37" s="187"/>
      <c r="Y37" s="187"/>
      <c r="Z37" s="188"/>
    </row>
    <row r="38" spans="1:26" ht="38.25" customHeight="1" x14ac:dyDescent="0.2">
      <c r="C38" s="2"/>
    </row>
    <row r="39" spans="1:26" ht="38.25" customHeight="1" x14ac:dyDescent="0.2"/>
    <row r="40" spans="1:26" ht="12.75" customHeight="1" x14ac:dyDescent="0.2"/>
    <row r="41" spans="1:26" ht="12.75" customHeight="1" x14ac:dyDescent="0.2"/>
    <row r="42" spans="1:26" ht="12.75" customHeight="1" x14ac:dyDescent="0.2"/>
    <row r="43" spans="1:26" ht="12.75" customHeight="1" x14ac:dyDescent="0.2"/>
    <row r="44" spans="1:26" ht="12.75" customHeight="1" x14ac:dyDescent="0.2"/>
    <row r="45" spans="1:26" ht="12.75" customHeight="1" x14ac:dyDescent="0.2"/>
  </sheetData>
  <autoFilter ref="A4:Z37" xr:uid="{00000000-0009-0000-0000-000002000000}">
    <filterColumn colId="4" showButton="0"/>
    <filterColumn colId="5" showButton="0"/>
    <filterColumn colId="6" showButton="0"/>
    <filterColumn colId="8" showButton="0"/>
    <filterColumn colId="9" showButton="0"/>
    <filterColumn colId="10" showButton="0"/>
    <filterColumn colId="12" showButton="0"/>
    <filterColumn colId="13" showButton="0"/>
  </autoFilter>
  <mergeCells count="57">
    <mergeCell ref="E14:F14"/>
    <mergeCell ref="I14:L14"/>
    <mergeCell ref="M14:O14"/>
    <mergeCell ref="E9:H9"/>
    <mergeCell ref="A1:Z1"/>
    <mergeCell ref="A2:Z4"/>
    <mergeCell ref="A5:A6"/>
    <mergeCell ref="B5:B6"/>
    <mergeCell ref="X5:X6"/>
    <mergeCell ref="Y5:Y6"/>
    <mergeCell ref="Z5:Z6"/>
    <mergeCell ref="Q5:Q6"/>
    <mergeCell ref="R5:R6"/>
    <mergeCell ref="S5:S6"/>
    <mergeCell ref="T5:T6"/>
    <mergeCell ref="U5:U6"/>
    <mergeCell ref="V5:V6"/>
    <mergeCell ref="W5:W6"/>
    <mergeCell ref="P5:P6"/>
    <mergeCell ref="M13:O13"/>
    <mergeCell ref="E11:F11"/>
    <mergeCell ref="I11:L11"/>
    <mergeCell ref="M11:O11"/>
    <mergeCell ref="E12:F12"/>
    <mergeCell ref="I12:L12"/>
    <mergeCell ref="M5:O6"/>
    <mergeCell ref="M12:O12"/>
    <mergeCell ref="I8:L8"/>
    <mergeCell ref="M8:O8"/>
    <mergeCell ref="M10:O10"/>
    <mergeCell ref="I9:L9"/>
    <mergeCell ref="M7:O7"/>
    <mergeCell ref="I10:L10"/>
    <mergeCell ref="E10:H10"/>
    <mergeCell ref="M9:O9"/>
    <mergeCell ref="E13:F13"/>
    <mergeCell ref="I13:L13"/>
    <mergeCell ref="E8:F8"/>
    <mergeCell ref="C5:C6"/>
    <mergeCell ref="D5:D6"/>
    <mergeCell ref="E5:H6"/>
    <mergeCell ref="I5:L6"/>
    <mergeCell ref="E7:F7"/>
    <mergeCell ref="I7:L7"/>
    <mergeCell ref="W34:Z34"/>
    <mergeCell ref="T35:V35"/>
    <mergeCell ref="W35:Z35"/>
    <mergeCell ref="T34:V34"/>
    <mergeCell ref="A33:P33"/>
    <mergeCell ref="A34:S34"/>
    <mergeCell ref="A37:S37"/>
    <mergeCell ref="A36:S36"/>
    <mergeCell ref="A35:S35"/>
    <mergeCell ref="W37:Z37"/>
    <mergeCell ref="T37:V37"/>
    <mergeCell ref="T36:V36"/>
    <mergeCell ref="W36:Z36"/>
  </mergeCells>
  <pageMargins left="0.9055118110236221" right="0.15748031496062992" top="0.43307086614173229" bottom="0" header="0.15748031496062992" footer="0.15748031496062992"/>
  <pageSetup paperSize="9" scale="37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ayfa4"/>
  <dimension ref="A1:AF26"/>
  <sheetViews>
    <sheetView view="pageBreakPreview" topLeftCell="A4" zoomScale="60" zoomScaleNormal="56" workbookViewId="0">
      <selection activeCell="X8" sqref="X8:Z11"/>
    </sheetView>
  </sheetViews>
  <sheetFormatPr defaultRowHeight="12.75" x14ac:dyDescent="0.2"/>
  <cols>
    <col min="1" max="1" width="7.5703125" customWidth="1"/>
    <col min="2" max="2" width="15.140625" style="1" customWidth="1"/>
    <col min="3" max="3" width="10.42578125" style="1" customWidth="1"/>
    <col min="4" max="4" width="9.28515625" style="1" customWidth="1"/>
    <col min="5" max="5" width="17.7109375" style="1" customWidth="1"/>
    <col min="6" max="6" width="23.28515625" style="1" customWidth="1"/>
    <col min="7" max="7" width="8.5703125" style="1" hidden="1" customWidth="1"/>
    <col min="8" max="8" width="10.28515625" style="1" hidden="1" customWidth="1"/>
    <col min="9" max="9" width="5.140625" style="1" customWidth="1"/>
    <col min="10" max="10" width="5.5703125" style="1" customWidth="1"/>
    <col min="11" max="11" width="5" style="1" customWidth="1"/>
    <col min="12" max="12" width="11.7109375" style="1" customWidth="1"/>
    <col min="13" max="13" width="8.42578125" style="1" customWidth="1"/>
    <col min="14" max="14" width="8" style="1" customWidth="1"/>
    <col min="15" max="15" width="10.28515625" style="1" customWidth="1"/>
    <col min="16" max="16" width="20" style="1" customWidth="1"/>
    <col min="17" max="17" width="19.5703125" style="1" bestFit="1" customWidth="1"/>
    <col min="18" max="18" width="16" style="1" bestFit="1" customWidth="1"/>
    <col min="19" max="19" width="19.5703125" style="1" bestFit="1" customWidth="1"/>
    <col min="20" max="20" width="17.28515625" style="1" customWidth="1"/>
    <col min="21" max="21" width="13.42578125" style="1" customWidth="1"/>
    <col min="22" max="22" width="13.85546875" style="1" customWidth="1"/>
    <col min="23" max="23" width="17.5703125" style="1" customWidth="1"/>
    <col min="24" max="24" width="24" style="1" customWidth="1"/>
    <col min="25" max="25" width="27.7109375" style="1" customWidth="1"/>
    <col min="26" max="26" width="26.7109375" style="1" bestFit="1" customWidth="1"/>
  </cols>
  <sheetData>
    <row r="1" spans="1:32" ht="43.5" customHeight="1" thickBot="1" x14ac:dyDescent="0.45">
      <c r="A1" s="220" t="s">
        <v>10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</row>
    <row r="2" spans="1:32" ht="37.5" customHeight="1" thickBot="1" x14ac:dyDescent="0.25">
      <c r="A2" s="221" t="s">
        <v>101</v>
      </c>
      <c r="B2" s="221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</row>
    <row r="3" spans="1:32" ht="30" customHeight="1" thickBot="1" x14ac:dyDescent="0.25">
      <c r="A3" s="221"/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</row>
    <row r="4" spans="1:32" ht="36" customHeight="1" thickBot="1" x14ac:dyDescent="0.25">
      <c r="A4" s="221"/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1"/>
      <c r="U4" s="221"/>
      <c r="V4" s="221"/>
      <c r="W4" s="221"/>
      <c r="X4" s="221"/>
      <c r="Y4" s="221"/>
      <c r="Z4" s="221"/>
    </row>
    <row r="5" spans="1:32" s="3" customFormat="1" ht="68.25" customHeight="1" thickBot="1" x14ac:dyDescent="0.35">
      <c r="A5" s="140" t="s">
        <v>9</v>
      </c>
      <c r="B5" s="141" t="s">
        <v>1</v>
      </c>
      <c r="C5" s="141" t="s">
        <v>2</v>
      </c>
      <c r="D5" s="141" t="s">
        <v>15</v>
      </c>
      <c r="E5" s="142" t="s">
        <v>5</v>
      </c>
      <c r="F5" s="142"/>
      <c r="G5" s="142"/>
      <c r="H5" s="142"/>
      <c r="I5" s="141" t="s">
        <v>16</v>
      </c>
      <c r="J5" s="141"/>
      <c r="K5" s="141"/>
      <c r="L5" s="141"/>
      <c r="M5" s="141" t="s">
        <v>3</v>
      </c>
      <c r="N5" s="141"/>
      <c r="O5" s="141"/>
      <c r="P5" s="141" t="s">
        <v>17</v>
      </c>
      <c r="Q5" s="141" t="s">
        <v>22</v>
      </c>
      <c r="R5" s="141" t="s">
        <v>75</v>
      </c>
      <c r="S5" s="141" t="s">
        <v>26</v>
      </c>
      <c r="T5" s="141" t="s">
        <v>27</v>
      </c>
      <c r="U5" s="141" t="s">
        <v>31</v>
      </c>
      <c r="V5" s="141" t="s">
        <v>18</v>
      </c>
      <c r="W5" s="141" t="s">
        <v>0</v>
      </c>
      <c r="X5" s="141" t="s">
        <v>8</v>
      </c>
      <c r="Y5" s="141" t="s">
        <v>7</v>
      </c>
      <c r="Z5" s="141" t="s">
        <v>4</v>
      </c>
    </row>
    <row r="6" spans="1:32" s="3" customFormat="1" ht="114" customHeight="1" thickBot="1" x14ac:dyDescent="0.35">
      <c r="A6" s="140"/>
      <c r="B6" s="141"/>
      <c r="C6" s="141"/>
      <c r="D6" s="141"/>
      <c r="E6" s="142"/>
      <c r="F6" s="142"/>
      <c r="G6" s="142"/>
      <c r="H6" s="142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4"/>
      <c r="AB6" s="4"/>
      <c r="AC6" s="4"/>
      <c r="AD6" s="4"/>
      <c r="AE6" s="4"/>
      <c r="AF6" s="4"/>
    </row>
    <row r="7" spans="1:32" s="3" customFormat="1" ht="39" customHeight="1" thickBot="1" x14ac:dyDescent="0.35">
      <c r="A7" s="100"/>
      <c r="B7" s="101"/>
      <c r="C7" s="101"/>
      <c r="D7" s="101"/>
      <c r="E7" s="163"/>
      <c r="F7" s="163"/>
      <c r="G7" s="102"/>
      <c r="H7" s="102"/>
      <c r="I7" s="162"/>
      <c r="J7" s="162"/>
      <c r="K7" s="162"/>
      <c r="L7" s="162"/>
      <c r="M7" s="162"/>
      <c r="N7" s="162"/>
      <c r="O7" s="162"/>
      <c r="P7" s="101"/>
      <c r="Q7" s="101" t="s">
        <v>19</v>
      </c>
      <c r="R7" s="101" t="s">
        <v>20</v>
      </c>
      <c r="S7" s="101" t="s">
        <v>21</v>
      </c>
      <c r="T7" s="101" t="s">
        <v>24</v>
      </c>
      <c r="U7" s="101" t="s">
        <v>23</v>
      </c>
      <c r="V7" s="101"/>
      <c r="W7" s="101" t="s">
        <v>25</v>
      </c>
      <c r="X7" s="101"/>
      <c r="Y7" s="101"/>
      <c r="Z7" s="101"/>
      <c r="AA7" s="4"/>
      <c r="AB7" s="4"/>
      <c r="AC7" s="4"/>
      <c r="AD7" s="4"/>
      <c r="AE7" s="4"/>
      <c r="AF7" s="4"/>
    </row>
    <row r="8" spans="1:32" ht="87.75" customHeight="1" thickBot="1" x14ac:dyDescent="0.35">
      <c r="A8" s="28">
        <v>1</v>
      </c>
      <c r="B8" s="29"/>
      <c r="C8" s="35"/>
      <c r="D8" s="99"/>
      <c r="E8" s="129"/>
      <c r="F8" s="129"/>
      <c r="G8" s="44"/>
      <c r="H8" s="44"/>
      <c r="I8" s="219"/>
      <c r="J8" s="219"/>
      <c r="K8" s="219"/>
      <c r="L8" s="219"/>
      <c r="M8" s="219"/>
      <c r="N8" s="219"/>
      <c r="O8" s="219"/>
      <c r="P8" s="30"/>
      <c r="Q8" s="36"/>
      <c r="R8" s="49">
        <f>Q8*0.2</f>
        <v>0</v>
      </c>
      <c r="S8" s="31">
        <f t="shared" ref="S8:S13" si="0">Q8+R8</f>
        <v>0</v>
      </c>
      <c r="T8" s="32"/>
      <c r="U8" s="31"/>
      <c r="V8" s="31">
        <f>Q8*0.00948</f>
        <v>0</v>
      </c>
      <c r="W8" s="36">
        <f t="shared" ref="W8:W13" si="1">SUM(S8:V8)</f>
        <v>0</v>
      </c>
      <c r="X8" s="37"/>
      <c r="Y8" s="30"/>
      <c r="Z8" s="29"/>
    </row>
    <row r="9" spans="1:32" ht="66.75" customHeight="1" thickBot="1" x14ac:dyDescent="0.25">
      <c r="A9" s="28">
        <v>2</v>
      </c>
      <c r="B9" s="29"/>
      <c r="C9" s="35"/>
      <c r="D9" s="99"/>
      <c r="E9" s="219"/>
      <c r="F9" s="219"/>
      <c r="G9" s="219"/>
      <c r="H9" s="219"/>
      <c r="I9" s="219"/>
      <c r="J9" s="219"/>
      <c r="K9" s="219"/>
      <c r="L9" s="219"/>
      <c r="M9" s="219"/>
      <c r="N9" s="219"/>
      <c r="O9" s="219"/>
      <c r="P9" s="30"/>
      <c r="Q9" s="36"/>
      <c r="R9" s="49">
        <f t="shared" ref="R9:R13" si="2">Q9*0.2</f>
        <v>0</v>
      </c>
      <c r="S9" s="31">
        <f t="shared" si="0"/>
        <v>0</v>
      </c>
      <c r="T9" s="32"/>
      <c r="U9" s="31"/>
      <c r="V9" s="31">
        <f t="shared" ref="V9:V13" si="3">Q9*0.00948</f>
        <v>0</v>
      </c>
      <c r="W9" s="36">
        <f t="shared" si="1"/>
        <v>0</v>
      </c>
      <c r="X9" s="30"/>
      <c r="Y9" s="30"/>
      <c r="Z9" s="29"/>
    </row>
    <row r="10" spans="1:32" ht="87" customHeight="1" thickBot="1" x14ac:dyDescent="0.25">
      <c r="A10" s="28">
        <v>3</v>
      </c>
      <c r="B10" s="29"/>
      <c r="C10" s="35"/>
      <c r="D10" s="99"/>
      <c r="E10" s="219"/>
      <c r="F10" s="219"/>
      <c r="G10" s="219"/>
      <c r="H10" s="219"/>
      <c r="I10" s="219"/>
      <c r="J10" s="219"/>
      <c r="K10" s="219"/>
      <c r="L10" s="219"/>
      <c r="M10" s="219"/>
      <c r="N10" s="219"/>
      <c r="O10" s="219"/>
      <c r="P10" s="30"/>
      <c r="Q10" s="36"/>
      <c r="R10" s="49">
        <f t="shared" si="2"/>
        <v>0</v>
      </c>
      <c r="S10" s="31">
        <f t="shared" si="0"/>
        <v>0</v>
      </c>
      <c r="T10" s="32"/>
      <c r="U10" s="31"/>
      <c r="V10" s="31">
        <f t="shared" si="3"/>
        <v>0</v>
      </c>
      <c r="W10" s="36">
        <f t="shared" si="1"/>
        <v>0</v>
      </c>
      <c r="X10" s="37"/>
      <c r="Y10" s="30"/>
      <c r="Z10" s="29"/>
    </row>
    <row r="11" spans="1:32" ht="86.25" customHeight="1" thickBot="1" x14ac:dyDescent="0.35">
      <c r="A11" s="28">
        <v>4</v>
      </c>
      <c r="B11" s="29"/>
      <c r="C11" s="35"/>
      <c r="D11" s="99"/>
      <c r="E11" s="129"/>
      <c r="F11" s="129"/>
      <c r="G11" s="44"/>
      <c r="H11" s="44"/>
      <c r="I11" s="219"/>
      <c r="J11" s="219"/>
      <c r="K11" s="219"/>
      <c r="L11" s="219"/>
      <c r="M11" s="219"/>
      <c r="N11" s="219"/>
      <c r="O11" s="219"/>
      <c r="P11" s="30"/>
      <c r="Q11" s="36"/>
      <c r="R11" s="49">
        <f t="shared" si="2"/>
        <v>0</v>
      </c>
      <c r="S11" s="31">
        <f t="shared" si="0"/>
        <v>0</v>
      </c>
      <c r="T11" s="32"/>
      <c r="U11" s="31"/>
      <c r="V11" s="31">
        <f t="shared" si="3"/>
        <v>0</v>
      </c>
      <c r="W11" s="36">
        <f t="shared" si="1"/>
        <v>0</v>
      </c>
      <c r="X11" s="37"/>
      <c r="Y11" s="30"/>
      <c r="Z11" s="29"/>
    </row>
    <row r="12" spans="1:32" ht="107.25" customHeight="1" thickBot="1" x14ac:dyDescent="0.35">
      <c r="A12" s="28"/>
      <c r="B12" s="29"/>
      <c r="C12" s="35"/>
      <c r="D12" s="99"/>
      <c r="E12" s="129"/>
      <c r="F12" s="129"/>
      <c r="G12" s="44"/>
      <c r="H12" s="44"/>
      <c r="I12" s="219"/>
      <c r="J12" s="219"/>
      <c r="K12" s="219"/>
      <c r="L12" s="219"/>
      <c r="M12" s="219"/>
      <c r="N12" s="219"/>
      <c r="O12" s="219"/>
      <c r="P12" s="30"/>
      <c r="Q12" s="36"/>
      <c r="R12" s="49">
        <f t="shared" si="2"/>
        <v>0</v>
      </c>
      <c r="S12" s="31">
        <f t="shared" si="0"/>
        <v>0</v>
      </c>
      <c r="T12" s="32"/>
      <c r="U12" s="31"/>
      <c r="V12" s="31">
        <f t="shared" si="3"/>
        <v>0</v>
      </c>
      <c r="W12" s="36">
        <f t="shared" si="1"/>
        <v>0</v>
      </c>
      <c r="X12" s="30"/>
      <c r="Y12" s="30"/>
      <c r="Z12" s="29"/>
    </row>
    <row r="13" spans="1:32" ht="102.75" customHeight="1" thickBot="1" x14ac:dyDescent="0.35">
      <c r="A13" s="28"/>
      <c r="B13" s="29"/>
      <c r="C13" s="35"/>
      <c r="D13" s="99"/>
      <c r="E13" s="129"/>
      <c r="F13" s="129"/>
      <c r="G13" s="44"/>
      <c r="H13" s="44"/>
      <c r="I13" s="219"/>
      <c r="J13" s="219"/>
      <c r="K13" s="219"/>
      <c r="L13" s="219"/>
      <c r="M13" s="219"/>
      <c r="N13" s="219"/>
      <c r="O13" s="219"/>
      <c r="P13" s="30"/>
      <c r="Q13" s="36"/>
      <c r="R13" s="49">
        <f t="shared" si="2"/>
        <v>0</v>
      </c>
      <c r="S13" s="31">
        <f t="shared" si="0"/>
        <v>0</v>
      </c>
      <c r="T13" s="32"/>
      <c r="U13" s="31"/>
      <c r="V13" s="31">
        <f t="shared" si="3"/>
        <v>0</v>
      </c>
      <c r="W13" s="36">
        <f t="shared" si="1"/>
        <v>0</v>
      </c>
      <c r="X13" s="30"/>
      <c r="Y13" s="30"/>
      <c r="Z13" s="29"/>
    </row>
    <row r="14" spans="1:32" ht="94.5" customHeight="1" thickBot="1" x14ac:dyDescent="0.25">
      <c r="A14" s="222" t="s">
        <v>6</v>
      </c>
      <c r="B14" s="222"/>
      <c r="C14" s="222"/>
      <c r="D14" s="222"/>
      <c r="E14" s="222"/>
      <c r="F14" s="222"/>
      <c r="G14" s="222"/>
      <c r="H14" s="222"/>
      <c r="I14" s="222"/>
      <c r="J14" s="222"/>
      <c r="K14" s="222"/>
      <c r="L14" s="222"/>
      <c r="M14" s="222"/>
      <c r="N14" s="222"/>
      <c r="O14" s="222"/>
      <c r="P14" s="222"/>
      <c r="Q14" s="36">
        <f>SUM(Q8:Q13)</f>
        <v>0</v>
      </c>
      <c r="R14" s="31">
        <f>SUM(R8:R13)</f>
        <v>0</v>
      </c>
      <c r="S14" s="31">
        <f>SUM(S8:S13)</f>
        <v>0</v>
      </c>
      <c r="T14" s="33" t="s">
        <v>30</v>
      </c>
      <c r="U14" s="31"/>
      <c r="V14" s="31">
        <f>SUM(V8:V13)</f>
        <v>0</v>
      </c>
      <c r="W14" s="36">
        <f>SUM(W8:W13)</f>
        <v>0</v>
      </c>
      <c r="X14" s="32"/>
      <c r="Y14" s="30"/>
      <c r="Z14" s="34"/>
    </row>
    <row r="15" spans="1:32" ht="100.5" customHeight="1" thickBot="1" x14ac:dyDescent="0.4">
      <c r="A15" s="152" t="s">
        <v>28</v>
      </c>
      <c r="B15" s="152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3" t="s">
        <v>11</v>
      </c>
      <c r="U15" s="153"/>
      <c r="V15" s="153"/>
      <c r="W15" s="156" t="s">
        <v>73</v>
      </c>
      <c r="X15" s="156"/>
      <c r="Y15" s="156"/>
      <c r="Z15" s="156"/>
    </row>
    <row r="16" spans="1:32" ht="69.75" customHeight="1" thickBot="1" x14ac:dyDescent="0.4">
      <c r="A16" s="152" t="s">
        <v>29</v>
      </c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3" t="s">
        <v>12</v>
      </c>
      <c r="U16" s="153"/>
      <c r="V16" s="153"/>
      <c r="W16" s="156" t="s">
        <v>34</v>
      </c>
      <c r="X16" s="156"/>
      <c r="Y16" s="156"/>
      <c r="Z16" s="156"/>
    </row>
    <row r="17" spans="1:26" ht="60.75" customHeight="1" thickBot="1" x14ac:dyDescent="0.4">
      <c r="A17" s="157"/>
      <c r="B17" s="157"/>
      <c r="C17" s="157"/>
      <c r="D17" s="157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3" t="s">
        <v>13</v>
      </c>
      <c r="U17" s="153"/>
      <c r="V17" s="153"/>
      <c r="W17" s="156" t="s">
        <v>32</v>
      </c>
      <c r="X17" s="156"/>
      <c r="Y17" s="156"/>
      <c r="Z17" s="156"/>
    </row>
    <row r="18" spans="1:26" ht="69.75" customHeight="1" thickBot="1" x14ac:dyDescent="0.45">
      <c r="A18" s="154"/>
      <c r="B18" s="154"/>
      <c r="C18" s="154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3" t="s">
        <v>14</v>
      </c>
      <c r="U18" s="153"/>
      <c r="V18" s="153"/>
      <c r="W18" s="155"/>
      <c r="X18" s="155"/>
      <c r="Y18" s="155"/>
      <c r="Z18" s="155"/>
    </row>
    <row r="19" spans="1:26" ht="38.25" customHeight="1" x14ac:dyDescent="0.2">
      <c r="C19" s="2"/>
    </row>
    <row r="20" spans="1:26" ht="38.25" customHeight="1" x14ac:dyDescent="0.2"/>
    <row r="21" spans="1:26" ht="12.75" customHeight="1" x14ac:dyDescent="0.2"/>
    <row r="22" spans="1:26" ht="12.75" customHeight="1" x14ac:dyDescent="0.2"/>
    <row r="23" spans="1:26" ht="12.75" customHeight="1" x14ac:dyDescent="0.2"/>
    <row r="24" spans="1:26" ht="12.75" customHeight="1" x14ac:dyDescent="0.2"/>
    <row r="25" spans="1:26" ht="12.75" customHeight="1" x14ac:dyDescent="0.2"/>
    <row r="26" spans="1:26" ht="12.75" customHeight="1" x14ac:dyDescent="0.2"/>
  </sheetData>
  <autoFilter ref="A5:Z14" xr:uid="{00000000-0009-0000-0000-000003000000}">
    <filterColumn colId="4" showButton="0"/>
    <filterColumn colId="5" showButton="0"/>
    <filterColumn colId="6" showButton="0"/>
    <filterColumn colId="8" showButton="0"/>
    <filterColumn colId="9" showButton="0"/>
    <filterColumn colId="10" showButton="0"/>
    <filterColumn colId="12" showButton="0"/>
    <filterColumn colId="13" showButton="0"/>
  </autoFilter>
  <mergeCells count="54">
    <mergeCell ref="A17:S17"/>
    <mergeCell ref="T17:V17"/>
    <mergeCell ref="W17:Z17"/>
    <mergeCell ref="A18:S18"/>
    <mergeCell ref="T18:V18"/>
    <mergeCell ref="W18:Z18"/>
    <mergeCell ref="T15:V15"/>
    <mergeCell ref="W15:Z15"/>
    <mergeCell ref="A16:S16"/>
    <mergeCell ref="T16:V16"/>
    <mergeCell ref="W16:Z16"/>
    <mergeCell ref="I9:L9"/>
    <mergeCell ref="I11:L11"/>
    <mergeCell ref="M11:O11"/>
    <mergeCell ref="E11:F11"/>
    <mergeCell ref="I12:L12"/>
    <mergeCell ref="M12:O12"/>
    <mergeCell ref="E12:F12"/>
    <mergeCell ref="M9:O9"/>
    <mergeCell ref="I10:L10"/>
    <mergeCell ref="M10:O10"/>
    <mergeCell ref="E9:H9"/>
    <mergeCell ref="E10:H10"/>
    <mergeCell ref="A14:P14"/>
    <mergeCell ref="A15:S15"/>
    <mergeCell ref="I13:L13"/>
    <mergeCell ref="M13:O13"/>
    <mergeCell ref="E13:F13"/>
    <mergeCell ref="A1:Z1"/>
    <mergeCell ref="A2:Z4"/>
    <mergeCell ref="A5:A6"/>
    <mergeCell ref="B5:B6"/>
    <mergeCell ref="C5:C6"/>
    <mergeCell ref="D5:D6"/>
    <mergeCell ref="E5:H6"/>
    <mergeCell ref="W5:W6"/>
    <mergeCell ref="X5:X6"/>
    <mergeCell ref="Y5:Y6"/>
    <mergeCell ref="Z5:Z6"/>
    <mergeCell ref="S5:S6"/>
    <mergeCell ref="Q5:Q6"/>
    <mergeCell ref="R5:R6"/>
    <mergeCell ref="T5:T6"/>
    <mergeCell ref="I5:L6"/>
    <mergeCell ref="U5:U6"/>
    <mergeCell ref="V5:V6"/>
    <mergeCell ref="E8:F8"/>
    <mergeCell ref="I8:L8"/>
    <mergeCell ref="M8:O8"/>
    <mergeCell ref="M5:O6"/>
    <mergeCell ref="P5:P6"/>
    <mergeCell ref="E7:F7"/>
    <mergeCell ref="I7:L7"/>
    <mergeCell ref="M7:O7"/>
  </mergeCells>
  <phoneticPr fontId="26" type="noConversion"/>
  <pageMargins left="0.9055118110236221" right="0.15748031496062992" top="0.43307086614173229" bottom="0" header="0.15748031496062992" footer="0.15748031496062992"/>
  <pageSetup paperSize="9" scale="37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ayfa5"/>
  <dimension ref="A1:AF45"/>
  <sheetViews>
    <sheetView view="pageBreakPreview" zoomScale="60" zoomScaleNormal="56" workbookViewId="0">
      <selection activeCell="X8" sqref="X8:Z15"/>
    </sheetView>
  </sheetViews>
  <sheetFormatPr defaultRowHeight="12.75" x14ac:dyDescent="0.2"/>
  <cols>
    <col min="1" max="1" width="7.5703125" customWidth="1"/>
    <col min="2" max="2" width="15.140625" style="1" customWidth="1"/>
    <col min="3" max="3" width="10.42578125" style="1" customWidth="1"/>
    <col min="4" max="4" width="9.28515625" style="1" customWidth="1"/>
    <col min="5" max="5" width="17.7109375" style="1" customWidth="1"/>
    <col min="6" max="6" width="23.28515625" style="1" customWidth="1"/>
    <col min="7" max="7" width="8.5703125" style="1" hidden="1" customWidth="1"/>
    <col min="8" max="8" width="10.28515625" style="1" hidden="1" customWidth="1"/>
    <col min="9" max="9" width="5.140625" style="1" customWidth="1"/>
    <col min="10" max="10" width="5.5703125" style="1" customWidth="1"/>
    <col min="11" max="11" width="5" style="1" customWidth="1"/>
    <col min="12" max="12" width="11.7109375" style="1" customWidth="1"/>
    <col min="13" max="13" width="8.42578125" style="1" customWidth="1"/>
    <col min="14" max="14" width="8" style="1" customWidth="1"/>
    <col min="15" max="15" width="10.28515625" style="1" customWidth="1"/>
    <col min="16" max="16" width="20" style="1" customWidth="1"/>
    <col min="17" max="17" width="19.5703125" style="1" bestFit="1" customWidth="1"/>
    <col min="18" max="18" width="16" style="1" bestFit="1" customWidth="1"/>
    <col min="19" max="19" width="19.5703125" style="1" bestFit="1" customWidth="1"/>
    <col min="20" max="20" width="17.28515625" style="1" customWidth="1"/>
    <col min="21" max="21" width="13.42578125" style="1" customWidth="1"/>
    <col min="22" max="22" width="13.85546875" style="1" customWidth="1"/>
    <col min="23" max="23" width="17.5703125" style="1" customWidth="1"/>
    <col min="24" max="24" width="24" style="1" customWidth="1"/>
    <col min="25" max="25" width="22.28515625" style="1" customWidth="1"/>
    <col min="26" max="26" width="26.7109375" style="1" bestFit="1" customWidth="1"/>
  </cols>
  <sheetData>
    <row r="1" spans="1:32" ht="43.5" customHeight="1" x14ac:dyDescent="0.4">
      <c r="A1" s="134" t="s">
        <v>10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6"/>
    </row>
    <row r="2" spans="1:32" ht="37.5" customHeight="1" x14ac:dyDescent="0.2">
      <c r="A2" s="137" t="s">
        <v>105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9"/>
    </row>
    <row r="3" spans="1:32" ht="30" customHeight="1" x14ac:dyDescent="0.2">
      <c r="A3" s="137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9"/>
    </row>
    <row r="4" spans="1:32" ht="36" customHeight="1" thickBot="1" x14ac:dyDescent="0.25">
      <c r="A4" s="137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9"/>
    </row>
    <row r="5" spans="1:32" s="3" customFormat="1" ht="68.25" customHeight="1" x14ac:dyDescent="0.3">
      <c r="A5" s="217" t="s">
        <v>9</v>
      </c>
      <c r="B5" s="200" t="s">
        <v>1</v>
      </c>
      <c r="C5" s="200" t="s">
        <v>2</v>
      </c>
      <c r="D5" s="200" t="s">
        <v>15</v>
      </c>
      <c r="E5" s="202" t="s">
        <v>5</v>
      </c>
      <c r="F5" s="203"/>
      <c r="G5" s="203"/>
      <c r="H5" s="204"/>
      <c r="I5" s="208" t="s">
        <v>16</v>
      </c>
      <c r="J5" s="209"/>
      <c r="K5" s="209"/>
      <c r="L5" s="210"/>
      <c r="M5" s="208" t="s">
        <v>3</v>
      </c>
      <c r="N5" s="209"/>
      <c r="O5" s="210"/>
      <c r="P5" s="200" t="s">
        <v>17</v>
      </c>
      <c r="Q5" s="200" t="s">
        <v>22</v>
      </c>
      <c r="R5" s="200" t="s">
        <v>75</v>
      </c>
      <c r="S5" s="200" t="s">
        <v>26</v>
      </c>
      <c r="T5" s="200" t="s">
        <v>27</v>
      </c>
      <c r="U5" s="200" t="s">
        <v>31</v>
      </c>
      <c r="V5" s="200" t="s">
        <v>18</v>
      </c>
      <c r="W5" s="200" t="s">
        <v>0</v>
      </c>
      <c r="X5" s="200" t="s">
        <v>8</v>
      </c>
      <c r="Y5" s="200" t="s">
        <v>7</v>
      </c>
      <c r="Z5" s="200" t="s">
        <v>4</v>
      </c>
    </row>
    <row r="6" spans="1:32" s="3" customFormat="1" ht="114" customHeight="1" thickBot="1" x14ac:dyDescent="0.35">
      <c r="A6" s="218"/>
      <c r="B6" s="201"/>
      <c r="C6" s="201"/>
      <c r="D6" s="201"/>
      <c r="E6" s="205"/>
      <c r="F6" s="206"/>
      <c r="G6" s="206"/>
      <c r="H6" s="207"/>
      <c r="I6" s="211"/>
      <c r="J6" s="212"/>
      <c r="K6" s="212"/>
      <c r="L6" s="213"/>
      <c r="M6" s="211"/>
      <c r="N6" s="212"/>
      <c r="O6" s="213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1"/>
      <c r="AA6" s="4"/>
      <c r="AB6" s="4"/>
      <c r="AC6" s="4"/>
      <c r="AD6" s="4"/>
      <c r="AE6" s="4"/>
      <c r="AF6" s="4"/>
    </row>
    <row r="7" spans="1:32" s="3" customFormat="1" ht="39" customHeight="1" thickBot="1" x14ac:dyDescent="0.35">
      <c r="A7" s="86"/>
      <c r="B7" s="92"/>
      <c r="C7" s="92"/>
      <c r="D7" s="92"/>
      <c r="E7" s="147"/>
      <c r="F7" s="148"/>
      <c r="G7" s="93"/>
      <c r="H7" s="93"/>
      <c r="I7" s="144"/>
      <c r="J7" s="145"/>
      <c r="K7" s="145"/>
      <c r="L7" s="146"/>
      <c r="M7" s="144"/>
      <c r="N7" s="145"/>
      <c r="O7" s="146"/>
      <c r="P7" s="92"/>
      <c r="Q7" s="92" t="s">
        <v>19</v>
      </c>
      <c r="R7" s="92" t="s">
        <v>20</v>
      </c>
      <c r="S7" s="92" t="s">
        <v>21</v>
      </c>
      <c r="T7" s="92" t="s">
        <v>24</v>
      </c>
      <c r="U7" s="92" t="s">
        <v>23</v>
      </c>
      <c r="V7" s="92"/>
      <c r="W7" s="92" t="s">
        <v>25</v>
      </c>
      <c r="X7" s="92"/>
      <c r="Y7" s="92"/>
      <c r="Z7" s="92"/>
      <c r="AA7" s="4"/>
      <c r="AB7" s="4"/>
      <c r="AC7" s="4"/>
      <c r="AD7" s="4"/>
      <c r="AE7" s="4"/>
      <c r="AF7" s="4"/>
    </row>
    <row r="8" spans="1:32" ht="65.25" customHeight="1" thickBot="1" x14ac:dyDescent="0.35">
      <c r="A8" s="28">
        <v>1</v>
      </c>
      <c r="B8" s="29"/>
      <c r="C8" s="35"/>
      <c r="D8" s="99"/>
      <c r="E8" s="127"/>
      <c r="F8" s="128"/>
      <c r="G8" s="44"/>
      <c r="H8" s="44"/>
      <c r="I8" s="131"/>
      <c r="J8" s="132"/>
      <c r="K8" s="132"/>
      <c r="L8" s="133"/>
      <c r="M8" s="131"/>
      <c r="N8" s="132"/>
      <c r="O8" s="133"/>
      <c r="P8" s="30"/>
      <c r="Q8" s="36"/>
      <c r="R8" s="49">
        <f>Q8*0.2</f>
        <v>0</v>
      </c>
      <c r="S8" s="31">
        <f t="shared" ref="S8:S15" si="0">Q8+R8</f>
        <v>0</v>
      </c>
      <c r="T8" s="32"/>
      <c r="U8" s="31"/>
      <c r="V8" s="31">
        <f>Q8*0.00948</f>
        <v>0</v>
      </c>
      <c r="W8" s="36">
        <f t="shared" ref="W8:W15" si="1">SUM(S8:V8)</f>
        <v>0</v>
      </c>
      <c r="X8" s="37"/>
      <c r="Y8" s="30"/>
      <c r="Z8" s="29"/>
    </row>
    <row r="9" spans="1:32" ht="66.75" customHeight="1" thickBot="1" x14ac:dyDescent="0.25">
      <c r="A9" s="28">
        <v>2</v>
      </c>
      <c r="B9" s="29"/>
      <c r="C9" s="35"/>
      <c r="D9" s="99"/>
      <c r="E9" s="131"/>
      <c r="F9" s="132"/>
      <c r="G9" s="132"/>
      <c r="H9" s="133"/>
      <c r="I9" s="131"/>
      <c r="J9" s="132"/>
      <c r="K9" s="132"/>
      <c r="L9" s="133"/>
      <c r="M9" s="131"/>
      <c r="N9" s="132"/>
      <c r="O9" s="133"/>
      <c r="P9" s="30"/>
      <c r="Q9" s="36"/>
      <c r="R9" s="49">
        <f t="shared" ref="R9:R15" si="2">Q9*0.2</f>
        <v>0</v>
      </c>
      <c r="S9" s="31">
        <f t="shared" si="0"/>
        <v>0</v>
      </c>
      <c r="T9" s="32"/>
      <c r="U9" s="31"/>
      <c r="V9" s="31">
        <f t="shared" ref="V9:V15" si="3">Q9*0.00948</f>
        <v>0</v>
      </c>
      <c r="W9" s="36">
        <f t="shared" si="1"/>
        <v>0</v>
      </c>
      <c r="X9" s="30"/>
      <c r="Y9" s="30"/>
      <c r="Z9" s="29"/>
    </row>
    <row r="10" spans="1:32" ht="87" customHeight="1" thickBot="1" x14ac:dyDescent="0.25">
      <c r="A10" s="28">
        <v>3</v>
      </c>
      <c r="B10" s="29"/>
      <c r="C10" s="35"/>
      <c r="D10" s="99"/>
      <c r="E10" s="131"/>
      <c r="F10" s="132"/>
      <c r="G10" s="132"/>
      <c r="H10" s="133"/>
      <c r="I10" s="131"/>
      <c r="J10" s="132"/>
      <c r="K10" s="132"/>
      <c r="L10" s="133"/>
      <c r="M10" s="131"/>
      <c r="N10" s="132"/>
      <c r="O10" s="133"/>
      <c r="P10" s="30"/>
      <c r="Q10" s="36"/>
      <c r="R10" s="49">
        <f t="shared" si="2"/>
        <v>0</v>
      </c>
      <c r="S10" s="31">
        <f t="shared" si="0"/>
        <v>0</v>
      </c>
      <c r="T10" s="32"/>
      <c r="U10" s="31"/>
      <c r="V10" s="31">
        <f t="shared" si="3"/>
        <v>0</v>
      </c>
      <c r="W10" s="36">
        <f t="shared" si="1"/>
        <v>0</v>
      </c>
      <c r="X10" s="85"/>
      <c r="Y10" s="30"/>
      <c r="Z10" s="29"/>
    </row>
    <row r="11" spans="1:32" ht="69.75" customHeight="1" thickBot="1" x14ac:dyDescent="0.3">
      <c r="A11" s="28">
        <v>4</v>
      </c>
      <c r="B11" s="29"/>
      <c r="C11" s="35"/>
      <c r="D11" s="99"/>
      <c r="E11" s="127"/>
      <c r="F11" s="128"/>
      <c r="G11" s="41"/>
      <c r="H11" s="41"/>
      <c r="I11" s="131"/>
      <c r="J11" s="132"/>
      <c r="K11" s="132"/>
      <c r="L11" s="133"/>
      <c r="M11" s="131"/>
      <c r="N11" s="132"/>
      <c r="O11" s="133"/>
      <c r="P11" s="30"/>
      <c r="Q11" s="36"/>
      <c r="R11" s="49">
        <f t="shared" si="2"/>
        <v>0</v>
      </c>
      <c r="S11" s="31">
        <f t="shared" si="0"/>
        <v>0</v>
      </c>
      <c r="T11" s="32"/>
      <c r="U11" s="31"/>
      <c r="V11" s="31">
        <f t="shared" si="3"/>
        <v>0</v>
      </c>
      <c r="W11" s="36">
        <f t="shared" si="1"/>
        <v>0</v>
      </c>
      <c r="X11" s="30"/>
      <c r="Y11" s="30"/>
      <c r="Z11" s="29"/>
    </row>
    <row r="12" spans="1:32" ht="59.25" customHeight="1" thickBot="1" x14ac:dyDescent="0.3">
      <c r="A12" s="28">
        <v>5</v>
      </c>
      <c r="B12" s="29"/>
      <c r="C12" s="35"/>
      <c r="D12" s="99"/>
      <c r="E12" s="127"/>
      <c r="F12" s="128"/>
      <c r="G12" s="41"/>
      <c r="H12" s="41"/>
      <c r="I12" s="131"/>
      <c r="J12" s="132"/>
      <c r="K12" s="132"/>
      <c r="L12" s="133"/>
      <c r="M12" s="131"/>
      <c r="N12" s="132"/>
      <c r="O12" s="133"/>
      <c r="P12" s="30"/>
      <c r="Q12" s="36"/>
      <c r="R12" s="49">
        <f t="shared" si="2"/>
        <v>0</v>
      </c>
      <c r="S12" s="31">
        <f t="shared" si="0"/>
        <v>0</v>
      </c>
      <c r="T12" s="32"/>
      <c r="U12" s="31"/>
      <c r="V12" s="31">
        <f t="shared" si="3"/>
        <v>0</v>
      </c>
      <c r="W12" s="36">
        <f t="shared" si="1"/>
        <v>0</v>
      </c>
      <c r="X12" s="30"/>
      <c r="Y12" s="30"/>
      <c r="Z12" s="29"/>
    </row>
    <row r="13" spans="1:32" ht="62.25" customHeight="1" thickBot="1" x14ac:dyDescent="0.3">
      <c r="A13" s="28">
        <v>6</v>
      </c>
      <c r="B13" s="29"/>
      <c r="C13" s="35"/>
      <c r="D13" s="99"/>
      <c r="E13" s="127"/>
      <c r="F13" s="128"/>
      <c r="G13" s="41"/>
      <c r="H13" s="41"/>
      <c r="I13" s="131"/>
      <c r="J13" s="132"/>
      <c r="K13" s="132"/>
      <c r="L13" s="133"/>
      <c r="M13" s="131"/>
      <c r="N13" s="132"/>
      <c r="O13" s="133"/>
      <c r="P13" s="30"/>
      <c r="Q13" s="36"/>
      <c r="R13" s="49">
        <f t="shared" si="2"/>
        <v>0</v>
      </c>
      <c r="S13" s="31">
        <f t="shared" si="0"/>
        <v>0</v>
      </c>
      <c r="T13" s="32"/>
      <c r="U13" s="31"/>
      <c r="V13" s="31">
        <f t="shared" si="3"/>
        <v>0</v>
      </c>
      <c r="W13" s="36">
        <f t="shared" si="1"/>
        <v>0</v>
      </c>
      <c r="X13" s="30"/>
      <c r="Y13" s="30"/>
      <c r="Z13" s="29"/>
    </row>
    <row r="14" spans="1:32" ht="62.25" customHeight="1" thickBot="1" x14ac:dyDescent="0.3">
      <c r="A14" s="28">
        <v>7</v>
      </c>
      <c r="B14" s="29"/>
      <c r="C14" s="35"/>
      <c r="D14" s="99"/>
      <c r="E14" s="127"/>
      <c r="F14" s="128"/>
      <c r="G14" s="41"/>
      <c r="H14" s="41"/>
      <c r="I14" s="131"/>
      <c r="J14" s="132"/>
      <c r="K14" s="132"/>
      <c r="L14" s="133"/>
      <c r="M14" s="131"/>
      <c r="N14" s="132"/>
      <c r="O14" s="133"/>
      <c r="P14" s="30"/>
      <c r="Q14" s="36"/>
      <c r="R14" s="49">
        <f t="shared" si="2"/>
        <v>0</v>
      </c>
      <c r="S14" s="31">
        <f t="shared" si="0"/>
        <v>0</v>
      </c>
      <c r="T14" s="32"/>
      <c r="U14" s="31"/>
      <c r="V14" s="31">
        <f t="shared" si="3"/>
        <v>0</v>
      </c>
      <c r="W14" s="36">
        <f t="shared" si="1"/>
        <v>0</v>
      </c>
      <c r="X14" s="30"/>
      <c r="Y14" s="30"/>
      <c r="Z14" s="29"/>
    </row>
    <row r="15" spans="1:32" ht="50.25" customHeight="1" thickBot="1" x14ac:dyDescent="0.3">
      <c r="A15" s="28">
        <v>8</v>
      </c>
      <c r="B15" s="29"/>
      <c r="C15" s="35"/>
      <c r="D15" s="99"/>
      <c r="E15" s="127"/>
      <c r="F15" s="128"/>
      <c r="G15" s="41"/>
      <c r="H15" s="41"/>
      <c r="I15" s="131"/>
      <c r="J15" s="132"/>
      <c r="K15" s="132"/>
      <c r="L15" s="133"/>
      <c r="M15" s="131"/>
      <c r="N15" s="132"/>
      <c r="O15" s="133"/>
      <c r="P15" s="30"/>
      <c r="Q15" s="36"/>
      <c r="R15" s="49">
        <f t="shared" si="2"/>
        <v>0</v>
      </c>
      <c r="S15" s="31">
        <f t="shared" si="0"/>
        <v>0</v>
      </c>
      <c r="T15" s="32"/>
      <c r="U15" s="31"/>
      <c r="V15" s="31">
        <f t="shared" si="3"/>
        <v>0</v>
      </c>
      <c r="W15" s="36">
        <f t="shared" si="1"/>
        <v>0</v>
      </c>
      <c r="X15" s="30"/>
      <c r="Y15" s="30"/>
      <c r="Z15" s="29"/>
    </row>
    <row r="16" spans="1:32" ht="26.25" hidden="1" customHeight="1" thickBot="1" x14ac:dyDescent="0.35">
      <c r="A16" s="28">
        <v>9</v>
      </c>
      <c r="B16" s="29"/>
      <c r="C16" s="35"/>
      <c r="D16" s="99"/>
      <c r="E16" s="198"/>
      <c r="F16" s="199"/>
      <c r="G16" s="44"/>
      <c r="H16" s="44"/>
      <c r="I16" s="214"/>
      <c r="J16" s="215"/>
      <c r="K16" s="215"/>
      <c r="L16" s="216"/>
      <c r="M16" s="214"/>
      <c r="N16" s="215"/>
      <c r="O16" s="216"/>
      <c r="P16" s="30"/>
      <c r="Q16" s="36"/>
      <c r="R16" s="49"/>
      <c r="S16" s="31"/>
      <c r="T16" s="32"/>
      <c r="U16" s="31"/>
      <c r="V16" s="31"/>
      <c r="W16" s="36"/>
      <c r="X16" s="30"/>
      <c r="Y16" s="30"/>
      <c r="Z16" s="29"/>
    </row>
    <row r="17" spans="1:26" ht="26.25" hidden="1" customHeight="1" thickBot="1" x14ac:dyDescent="0.35">
      <c r="A17" s="28">
        <v>10</v>
      </c>
      <c r="B17" s="29"/>
      <c r="C17" s="35"/>
      <c r="D17" s="99"/>
      <c r="E17" s="198"/>
      <c r="F17" s="199"/>
      <c r="G17" s="44"/>
      <c r="H17" s="44"/>
      <c r="I17" s="214"/>
      <c r="J17" s="215"/>
      <c r="K17" s="215"/>
      <c r="L17" s="216"/>
      <c r="M17" s="214"/>
      <c r="N17" s="215"/>
      <c r="O17" s="216"/>
      <c r="P17" s="30"/>
      <c r="Q17" s="36"/>
      <c r="R17" s="49"/>
      <c r="S17" s="31"/>
      <c r="T17" s="32"/>
      <c r="U17" s="31"/>
      <c r="V17" s="31"/>
      <c r="W17" s="36"/>
      <c r="X17" s="30"/>
      <c r="Y17" s="30"/>
      <c r="Z17" s="29"/>
    </row>
    <row r="18" spans="1:26" ht="26.25" hidden="1" customHeight="1" thickBot="1" x14ac:dyDescent="0.35">
      <c r="A18" s="28">
        <v>11</v>
      </c>
      <c r="B18" s="29"/>
      <c r="C18" s="35"/>
      <c r="D18" s="99"/>
      <c r="E18" s="198"/>
      <c r="F18" s="199"/>
      <c r="G18" s="44"/>
      <c r="H18" s="44"/>
      <c r="I18" s="214"/>
      <c r="J18" s="215"/>
      <c r="K18" s="215"/>
      <c r="L18" s="216"/>
      <c r="M18" s="214"/>
      <c r="N18" s="215"/>
      <c r="O18" s="216"/>
      <c r="P18" s="30"/>
      <c r="Q18" s="36"/>
      <c r="R18" s="49"/>
      <c r="S18" s="31"/>
      <c r="T18" s="32"/>
      <c r="U18" s="31"/>
      <c r="V18" s="31"/>
      <c r="W18" s="36"/>
      <c r="X18" s="30"/>
      <c r="Y18" s="30"/>
      <c r="Z18" s="29"/>
    </row>
    <row r="19" spans="1:26" ht="26.25" hidden="1" customHeight="1" thickBot="1" x14ac:dyDescent="0.35">
      <c r="A19" s="28">
        <v>12</v>
      </c>
      <c r="B19" s="29"/>
      <c r="C19" s="35"/>
      <c r="D19" s="99"/>
      <c r="E19" s="198"/>
      <c r="F19" s="199"/>
      <c r="G19" s="44"/>
      <c r="H19" s="44"/>
      <c r="I19" s="214"/>
      <c r="J19" s="215"/>
      <c r="K19" s="215"/>
      <c r="L19" s="216"/>
      <c r="M19" s="214"/>
      <c r="N19" s="215"/>
      <c r="O19" s="216"/>
      <c r="P19" s="30"/>
      <c r="Q19" s="36"/>
      <c r="R19" s="49"/>
      <c r="S19" s="31"/>
      <c r="T19" s="32"/>
      <c r="U19" s="31"/>
      <c r="V19" s="31"/>
      <c r="W19" s="36"/>
      <c r="X19" s="30"/>
      <c r="Y19" s="30"/>
      <c r="Z19" s="29"/>
    </row>
    <row r="20" spans="1:26" ht="26.25" hidden="1" customHeight="1" thickBot="1" x14ac:dyDescent="0.35">
      <c r="A20" s="28">
        <v>13</v>
      </c>
      <c r="B20" s="29"/>
      <c r="C20" s="35"/>
      <c r="D20" s="104"/>
      <c r="E20" s="198"/>
      <c r="F20" s="199"/>
      <c r="G20" s="44"/>
      <c r="H20" s="44"/>
      <c r="I20" s="214"/>
      <c r="J20" s="215"/>
      <c r="K20" s="215"/>
      <c r="L20" s="216"/>
      <c r="M20" s="214"/>
      <c r="N20" s="215"/>
      <c r="O20" s="216"/>
      <c r="P20" s="30"/>
      <c r="Q20" s="36"/>
      <c r="R20" s="49"/>
      <c r="S20" s="31"/>
      <c r="T20" s="32"/>
      <c r="U20" s="31"/>
      <c r="V20" s="31"/>
      <c r="W20" s="36"/>
      <c r="X20" s="30"/>
      <c r="Y20" s="30"/>
      <c r="Z20" s="29"/>
    </row>
    <row r="21" spans="1:26" ht="26.25" hidden="1" customHeight="1" thickBot="1" x14ac:dyDescent="0.35">
      <c r="A21" s="28">
        <v>14</v>
      </c>
      <c r="B21" s="29"/>
      <c r="C21" s="35"/>
      <c r="D21" s="99"/>
      <c r="E21" s="198"/>
      <c r="F21" s="199"/>
      <c r="G21" s="44"/>
      <c r="H21" s="44"/>
      <c r="I21" s="214"/>
      <c r="J21" s="215"/>
      <c r="K21" s="215"/>
      <c r="L21" s="216"/>
      <c r="M21" s="214"/>
      <c r="N21" s="215"/>
      <c r="O21" s="216"/>
      <c r="P21" s="30"/>
      <c r="Q21" s="36"/>
      <c r="R21" s="49"/>
      <c r="S21" s="31"/>
      <c r="T21" s="32"/>
      <c r="U21" s="31"/>
      <c r="V21" s="31"/>
      <c r="W21" s="36"/>
      <c r="X21" s="30"/>
      <c r="Y21" s="30"/>
      <c r="Z21" s="29"/>
    </row>
    <row r="22" spans="1:26" ht="26.25" hidden="1" customHeight="1" thickBot="1" x14ac:dyDescent="0.35">
      <c r="A22" s="28">
        <v>15</v>
      </c>
      <c r="B22" s="29"/>
      <c r="C22" s="35"/>
      <c r="D22" s="99"/>
      <c r="E22" s="198"/>
      <c r="F22" s="199"/>
      <c r="G22" s="44"/>
      <c r="H22" s="44"/>
      <c r="I22" s="214"/>
      <c r="J22" s="215"/>
      <c r="K22" s="215"/>
      <c r="L22" s="216"/>
      <c r="M22" s="214"/>
      <c r="N22" s="215"/>
      <c r="O22" s="216"/>
      <c r="P22" s="30"/>
      <c r="Q22" s="36"/>
      <c r="R22" s="49"/>
      <c r="S22" s="31"/>
      <c r="T22" s="32"/>
      <c r="U22" s="31"/>
      <c r="V22" s="31"/>
      <c r="W22" s="36"/>
      <c r="X22" s="30"/>
      <c r="Y22" s="30"/>
      <c r="Z22" s="29"/>
    </row>
    <row r="23" spans="1:26" ht="26.25" hidden="1" customHeight="1" thickBot="1" x14ac:dyDescent="0.35">
      <c r="A23" s="28">
        <v>16</v>
      </c>
      <c r="B23" s="29"/>
      <c r="C23" s="35"/>
      <c r="D23" s="99"/>
      <c r="E23" s="94"/>
      <c r="F23" s="95"/>
      <c r="G23" s="44"/>
      <c r="H23" s="44"/>
      <c r="I23" s="96"/>
      <c r="J23" s="97"/>
      <c r="K23" s="97"/>
      <c r="L23" s="98"/>
      <c r="M23" s="96"/>
      <c r="N23" s="97"/>
      <c r="O23" s="98"/>
      <c r="P23" s="30"/>
      <c r="Q23" s="36"/>
      <c r="R23" s="49"/>
      <c r="S23" s="31"/>
      <c r="T23" s="32"/>
      <c r="U23" s="31"/>
      <c r="V23" s="31"/>
      <c r="W23" s="36"/>
      <c r="X23" s="30"/>
      <c r="Y23" s="30"/>
      <c r="Z23" s="29"/>
    </row>
    <row r="24" spans="1:26" ht="26.25" hidden="1" customHeight="1" thickBot="1" x14ac:dyDescent="0.35">
      <c r="A24" s="28">
        <v>17</v>
      </c>
      <c r="B24" s="29"/>
      <c r="C24" s="35"/>
      <c r="D24" s="99"/>
      <c r="E24" s="94"/>
      <c r="F24" s="95"/>
      <c r="G24" s="44"/>
      <c r="H24" s="44"/>
      <c r="I24" s="96"/>
      <c r="J24" s="97"/>
      <c r="K24" s="97"/>
      <c r="L24" s="98"/>
      <c r="M24" s="96"/>
      <c r="N24" s="97"/>
      <c r="O24" s="98"/>
      <c r="P24" s="30"/>
      <c r="Q24" s="36"/>
      <c r="R24" s="49"/>
      <c r="S24" s="31"/>
      <c r="T24" s="32"/>
      <c r="U24" s="31"/>
      <c r="V24" s="31"/>
      <c r="W24" s="36"/>
      <c r="X24" s="30"/>
      <c r="Y24" s="30"/>
      <c r="Z24" s="29"/>
    </row>
    <row r="25" spans="1:26" ht="26.25" hidden="1" customHeight="1" thickBot="1" x14ac:dyDescent="0.35">
      <c r="A25" s="28">
        <v>18</v>
      </c>
      <c r="B25" s="29"/>
      <c r="C25" s="35"/>
      <c r="D25" s="99"/>
      <c r="E25" s="94"/>
      <c r="F25" s="95"/>
      <c r="G25" s="44"/>
      <c r="H25" s="44"/>
      <c r="I25" s="96"/>
      <c r="J25" s="97"/>
      <c r="K25" s="97"/>
      <c r="L25" s="98"/>
      <c r="M25" s="96"/>
      <c r="N25" s="97"/>
      <c r="O25" s="98"/>
      <c r="P25" s="30"/>
      <c r="Q25" s="36"/>
      <c r="R25" s="49"/>
      <c r="S25" s="31"/>
      <c r="T25" s="32"/>
      <c r="U25" s="31"/>
      <c r="V25" s="31"/>
      <c r="W25" s="36"/>
      <c r="X25" s="30"/>
      <c r="Y25" s="30"/>
      <c r="Z25" s="29"/>
    </row>
    <row r="26" spans="1:26" ht="26.25" hidden="1" customHeight="1" thickBot="1" x14ac:dyDescent="0.35">
      <c r="A26" s="28">
        <v>19</v>
      </c>
      <c r="B26" s="29"/>
      <c r="C26" s="35"/>
      <c r="D26" s="99"/>
      <c r="E26" s="94"/>
      <c r="F26" s="95"/>
      <c r="G26" s="44"/>
      <c r="H26" s="44"/>
      <c r="I26" s="96"/>
      <c r="J26" s="97"/>
      <c r="K26" s="97"/>
      <c r="L26" s="98"/>
      <c r="M26" s="96"/>
      <c r="N26" s="97"/>
      <c r="O26" s="98"/>
      <c r="P26" s="30"/>
      <c r="Q26" s="36"/>
      <c r="R26" s="49"/>
      <c r="S26" s="31"/>
      <c r="T26" s="32"/>
      <c r="U26" s="31"/>
      <c r="V26" s="31"/>
      <c r="W26" s="36"/>
      <c r="X26" s="30"/>
      <c r="Y26" s="30"/>
      <c r="Z26" s="29"/>
    </row>
    <row r="27" spans="1:26" ht="26.25" hidden="1" customHeight="1" thickBot="1" x14ac:dyDescent="0.35">
      <c r="A27" s="28">
        <v>20</v>
      </c>
      <c r="B27" s="29"/>
      <c r="C27" s="35"/>
      <c r="D27" s="99"/>
      <c r="E27" s="94"/>
      <c r="F27" s="95"/>
      <c r="G27" s="44"/>
      <c r="H27" s="44"/>
      <c r="I27" s="96"/>
      <c r="J27" s="97"/>
      <c r="K27" s="97"/>
      <c r="L27" s="98"/>
      <c r="M27" s="96"/>
      <c r="N27" s="97"/>
      <c r="O27" s="98"/>
      <c r="P27" s="30"/>
      <c r="Q27" s="36"/>
      <c r="R27" s="49"/>
      <c r="S27" s="31"/>
      <c r="T27" s="32"/>
      <c r="U27" s="31"/>
      <c r="V27" s="31"/>
      <c r="W27" s="36"/>
      <c r="X27" s="30"/>
      <c r="Y27" s="30"/>
      <c r="Z27" s="29"/>
    </row>
    <row r="28" spans="1:26" ht="26.25" hidden="1" customHeight="1" thickBot="1" x14ac:dyDescent="0.35">
      <c r="A28" s="28">
        <v>21</v>
      </c>
      <c r="B28" s="29"/>
      <c r="C28" s="35"/>
      <c r="D28" s="99"/>
      <c r="E28" s="94"/>
      <c r="F28" s="95"/>
      <c r="G28" s="44"/>
      <c r="H28" s="44"/>
      <c r="I28" s="96"/>
      <c r="J28" s="97"/>
      <c r="K28" s="97"/>
      <c r="L28" s="98"/>
      <c r="M28" s="96"/>
      <c r="N28" s="97"/>
      <c r="O28" s="98"/>
      <c r="P28" s="30"/>
      <c r="Q28" s="36"/>
      <c r="R28" s="49"/>
      <c r="S28" s="31"/>
      <c r="T28" s="32"/>
      <c r="U28" s="31"/>
      <c r="V28" s="31"/>
      <c r="W28" s="36"/>
      <c r="X28" s="30"/>
      <c r="Y28" s="30"/>
      <c r="Z28" s="29"/>
    </row>
    <row r="29" spans="1:26" ht="26.25" hidden="1" customHeight="1" thickBot="1" x14ac:dyDescent="0.35">
      <c r="A29" s="28">
        <v>22</v>
      </c>
      <c r="B29" s="29"/>
      <c r="C29" s="35"/>
      <c r="D29" s="99"/>
      <c r="E29" s="94"/>
      <c r="F29" s="95"/>
      <c r="G29" s="44"/>
      <c r="H29" s="44"/>
      <c r="I29" s="96"/>
      <c r="J29" s="97"/>
      <c r="K29" s="97"/>
      <c r="L29" s="98"/>
      <c r="M29" s="96"/>
      <c r="N29" s="97"/>
      <c r="O29" s="98"/>
      <c r="P29" s="30"/>
      <c r="Q29" s="36"/>
      <c r="R29" s="49"/>
      <c r="S29" s="31"/>
      <c r="T29" s="32"/>
      <c r="U29" s="31"/>
      <c r="V29" s="31"/>
      <c r="W29" s="36"/>
      <c r="X29" s="30"/>
      <c r="Y29" s="30"/>
      <c r="Z29" s="29"/>
    </row>
    <row r="30" spans="1:26" ht="26.25" hidden="1" customHeight="1" thickBot="1" x14ac:dyDescent="0.35">
      <c r="A30" s="28">
        <v>23</v>
      </c>
      <c r="B30" s="29"/>
      <c r="C30" s="35"/>
      <c r="D30" s="99"/>
      <c r="E30" s="94"/>
      <c r="F30" s="95"/>
      <c r="G30" s="44"/>
      <c r="H30" s="44"/>
      <c r="I30" s="96"/>
      <c r="J30" s="97"/>
      <c r="K30" s="97"/>
      <c r="L30" s="98"/>
      <c r="M30" s="96"/>
      <c r="N30" s="97"/>
      <c r="O30" s="98"/>
      <c r="P30" s="30"/>
      <c r="Q30" s="36"/>
      <c r="R30" s="49"/>
      <c r="S30" s="31"/>
      <c r="T30" s="32"/>
      <c r="U30" s="31"/>
      <c r="V30" s="31"/>
      <c r="W30" s="36"/>
      <c r="X30" s="30"/>
      <c r="Y30" s="30"/>
      <c r="Z30" s="29"/>
    </row>
    <row r="31" spans="1:26" ht="26.25" hidden="1" customHeight="1" thickBot="1" x14ac:dyDescent="0.35">
      <c r="A31" s="28">
        <v>24</v>
      </c>
      <c r="B31" s="29"/>
      <c r="C31" s="35"/>
      <c r="D31" s="99"/>
      <c r="E31" s="94"/>
      <c r="F31" s="95"/>
      <c r="G31" s="44"/>
      <c r="H31" s="44"/>
      <c r="I31" s="96"/>
      <c r="J31" s="97"/>
      <c r="K31" s="97"/>
      <c r="L31" s="98"/>
      <c r="M31" s="96"/>
      <c r="N31" s="97"/>
      <c r="O31" s="98"/>
      <c r="P31" s="30"/>
      <c r="Q31" s="36"/>
      <c r="R31" s="49"/>
      <c r="S31" s="31"/>
      <c r="T31" s="32"/>
      <c r="U31" s="31"/>
      <c r="V31" s="31"/>
      <c r="W31" s="36"/>
      <c r="X31" s="30"/>
      <c r="Y31" s="30"/>
      <c r="Z31" s="29"/>
    </row>
    <row r="32" spans="1:26" ht="26.25" hidden="1" customHeight="1" thickBot="1" x14ac:dyDescent="0.35">
      <c r="A32" s="28">
        <v>25</v>
      </c>
      <c r="B32" s="29"/>
      <c r="C32" s="35"/>
      <c r="D32" s="99"/>
      <c r="E32" s="94"/>
      <c r="F32" s="95"/>
      <c r="G32" s="44"/>
      <c r="H32" s="44"/>
      <c r="I32" s="96"/>
      <c r="J32" s="97"/>
      <c r="K32" s="97"/>
      <c r="L32" s="98"/>
      <c r="M32" s="96"/>
      <c r="N32" s="97"/>
      <c r="O32" s="98"/>
      <c r="P32" s="30"/>
      <c r="Q32" s="36"/>
      <c r="R32" s="49"/>
      <c r="S32" s="31"/>
      <c r="T32" s="32"/>
      <c r="U32" s="31"/>
      <c r="V32" s="31"/>
      <c r="W32" s="36"/>
      <c r="X32" s="30"/>
      <c r="Y32" s="30"/>
      <c r="Z32" s="29"/>
    </row>
    <row r="33" spans="1:26" ht="79.5" customHeight="1" thickBot="1" x14ac:dyDescent="0.25">
      <c r="A33" s="195" t="s">
        <v>6</v>
      </c>
      <c r="B33" s="196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7"/>
      <c r="Q33" s="36">
        <f>SUM(Q8:Q32)</f>
        <v>0</v>
      </c>
      <c r="R33" s="31">
        <f>SUM(R8:R32)</f>
        <v>0</v>
      </c>
      <c r="S33" s="31">
        <f>SUM(S8:S32)</f>
        <v>0</v>
      </c>
      <c r="T33" s="33" t="s">
        <v>30</v>
      </c>
      <c r="U33" s="31"/>
      <c r="V33" s="31">
        <f>SUM(V8:V32)</f>
        <v>0</v>
      </c>
      <c r="W33" s="36">
        <f>SUM(W8:W32)</f>
        <v>0</v>
      </c>
      <c r="X33" s="32"/>
      <c r="Y33" s="30"/>
      <c r="Z33" s="34"/>
    </row>
    <row r="34" spans="1:26" ht="73.5" customHeight="1" thickBot="1" x14ac:dyDescent="0.4">
      <c r="A34" s="183" t="s">
        <v>28</v>
      </c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5"/>
      <c r="T34" s="189" t="s">
        <v>11</v>
      </c>
      <c r="U34" s="190"/>
      <c r="V34" s="191"/>
      <c r="W34" s="192" t="s">
        <v>73</v>
      </c>
      <c r="X34" s="193"/>
      <c r="Y34" s="193"/>
      <c r="Z34" s="194"/>
    </row>
    <row r="35" spans="1:26" ht="69.75" customHeight="1" thickBot="1" x14ac:dyDescent="0.4">
      <c r="A35" s="183" t="s">
        <v>29</v>
      </c>
      <c r="B35" s="184"/>
      <c r="C35" s="184"/>
      <c r="D35" s="184"/>
      <c r="E35" s="184"/>
      <c r="F35" s="184"/>
      <c r="G35" s="184"/>
      <c r="H35" s="184"/>
      <c r="I35" s="184"/>
      <c r="J35" s="184"/>
      <c r="K35" s="184"/>
      <c r="L35" s="184"/>
      <c r="M35" s="184"/>
      <c r="N35" s="184"/>
      <c r="O35" s="184"/>
      <c r="P35" s="184"/>
      <c r="Q35" s="184"/>
      <c r="R35" s="184"/>
      <c r="S35" s="185"/>
      <c r="T35" s="189" t="s">
        <v>12</v>
      </c>
      <c r="U35" s="190"/>
      <c r="V35" s="191"/>
      <c r="W35" s="192" t="s">
        <v>104</v>
      </c>
      <c r="X35" s="193"/>
      <c r="Y35" s="193"/>
      <c r="Z35" s="194"/>
    </row>
    <row r="36" spans="1:26" ht="39" customHeight="1" thickBot="1" x14ac:dyDescent="0.4">
      <c r="A36" s="180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2"/>
      <c r="T36" s="189" t="s">
        <v>13</v>
      </c>
      <c r="U36" s="190"/>
      <c r="V36" s="191"/>
      <c r="W36" s="192" t="s">
        <v>32</v>
      </c>
      <c r="X36" s="193"/>
      <c r="Y36" s="193"/>
      <c r="Z36" s="194"/>
    </row>
    <row r="37" spans="1:26" ht="57.75" customHeight="1" thickBot="1" x14ac:dyDescent="0.45">
      <c r="A37" s="177"/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s="178"/>
      <c r="N37" s="178"/>
      <c r="O37" s="178"/>
      <c r="P37" s="178"/>
      <c r="Q37" s="178"/>
      <c r="R37" s="178"/>
      <c r="S37" s="179"/>
      <c r="T37" s="189" t="s">
        <v>14</v>
      </c>
      <c r="U37" s="190"/>
      <c r="V37" s="191"/>
      <c r="W37" s="186"/>
      <c r="X37" s="187"/>
      <c r="Y37" s="187"/>
      <c r="Z37" s="188"/>
    </row>
    <row r="38" spans="1:26" ht="38.25" customHeight="1" x14ac:dyDescent="0.2">
      <c r="C38" s="2"/>
    </row>
    <row r="39" spans="1:26" ht="38.25" customHeight="1" x14ac:dyDescent="0.2"/>
    <row r="40" spans="1:26" ht="12.75" customHeight="1" x14ac:dyDescent="0.2"/>
    <row r="41" spans="1:26" ht="12.75" customHeight="1" x14ac:dyDescent="0.2"/>
    <row r="42" spans="1:26" ht="12.75" customHeight="1" x14ac:dyDescent="0.2"/>
    <row r="43" spans="1:26" ht="12.75" customHeight="1" x14ac:dyDescent="0.2"/>
    <row r="44" spans="1:26" ht="12.75" customHeight="1" x14ac:dyDescent="0.2"/>
    <row r="45" spans="1:26" ht="12.75" customHeight="1" x14ac:dyDescent="0.2"/>
  </sheetData>
  <autoFilter ref="A5:Z22" xr:uid="{00000000-0009-0000-0000-000004000000}">
    <filterColumn colId="4" showButton="0"/>
    <filterColumn colId="5" showButton="0"/>
    <filterColumn colId="6" showButton="0"/>
    <filterColumn colId="8" showButton="0"/>
    <filterColumn colId="9" showButton="0"/>
    <filterColumn colId="10" showButton="0"/>
    <filterColumn colId="12" showButton="0"/>
    <filterColumn colId="13" showButton="0"/>
  </autoFilter>
  <mergeCells count="81">
    <mergeCell ref="A36:S36"/>
    <mergeCell ref="T36:V36"/>
    <mergeCell ref="W36:Z36"/>
    <mergeCell ref="A37:S37"/>
    <mergeCell ref="T37:V37"/>
    <mergeCell ref="W37:Z37"/>
    <mergeCell ref="T34:V34"/>
    <mergeCell ref="W34:Z34"/>
    <mergeCell ref="A35:S35"/>
    <mergeCell ref="T35:V35"/>
    <mergeCell ref="W35:Z35"/>
    <mergeCell ref="E14:F14"/>
    <mergeCell ref="I14:L14"/>
    <mergeCell ref="M14:O14"/>
    <mergeCell ref="A33:P33"/>
    <mergeCell ref="A34:S34"/>
    <mergeCell ref="E15:F15"/>
    <mergeCell ref="I15:L15"/>
    <mergeCell ref="M15:O15"/>
    <mergeCell ref="E16:F16"/>
    <mergeCell ref="E17:F17"/>
    <mergeCell ref="E18:F18"/>
    <mergeCell ref="E19:F19"/>
    <mergeCell ref="E20:F20"/>
    <mergeCell ref="I16:L16"/>
    <mergeCell ref="M16:O16"/>
    <mergeCell ref="I17:L17"/>
    <mergeCell ref="U5:U6"/>
    <mergeCell ref="V5:V6"/>
    <mergeCell ref="A1:Z1"/>
    <mergeCell ref="A2:Z4"/>
    <mergeCell ref="A5:A6"/>
    <mergeCell ref="B5:B6"/>
    <mergeCell ref="C5:C6"/>
    <mergeCell ref="D5:D6"/>
    <mergeCell ref="E5:H6"/>
    <mergeCell ref="W5:W6"/>
    <mergeCell ref="X5:X6"/>
    <mergeCell ref="Y5:Y6"/>
    <mergeCell ref="Z5:Z6"/>
    <mergeCell ref="S5:S6"/>
    <mergeCell ref="I5:L6"/>
    <mergeCell ref="M5:O6"/>
    <mergeCell ref="P5:P6"/>
    <mergeCell ref="T5:T6"/>
    <mergeCell ref="E8:F8"/>
    <mergeCell ref="I8:L8"/>
    <mergeCell ref="M8:O8"/>
    <mergeCell ref="Q5:Q6"/>
    <mergeCell ref="R5:R6"/>
    <mergeCell ref="E7:F7"/>
    <mergeCell ref="I7:L7"/>
    <mergeCell ref="M7:O7"/>
    <mergeCell ref="E13:F13"/>
    <mergeCell ref="I13:L13"/>
    <mergeCell ref="M13:O13"/>
    <mergeCell ref="E11:F11"/>
    <mergeCell ref="E9:H9"/>
    <mergeCell ref="I9:L9"/>
    <mergeCell ref="M9:O9"/>
    <mergeCell ref="E10:H10"/>
    <mergeCell ref="I10:L10"/>
    <mergeCell ref="M10:O10"/>
    <mergeCell ref="I11:L11"/>
    <mergeCell ref="M11:O11"/>
    <mergeCell ref="E12:F12"/>
    <mergeCell ref="I12:L12"/>
    <mergeCell ref="M12:O12"/>
    <mergeCell ref="I18:L18"/>
    <mergeCell ref="I19:L19"/>
    <mergeCell ref="M17:O17"/>
    <mergeCell ref="M18:O18"/>
    <mergeCell ref="M19:O19"/>
    <mergeCell ref="E22:F22"/>
    <mergeCell ref="I22:L22"/>
    <mergeCell ref="M22:O22"/>
    <mergeCell ref="M20:O20"/>
    <mergeCell ref="I20:L20"/>
    <mergeCell ref="E21:F21"/>
    <mergeCell ref="I21:L21"/>
    <mergeCell ref="M21:O21"/>
  </mergeCells>
  <pageMargins left="0.9055118110236221" right="0.15748031496062992" top="0.43307086614173229" bottom="0" header="0.15748031496062992" footer="0.15748031496062992"/>
  <pageSetup paperSize="9" scale="37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ayfa6"/>
  <dimension ref="A1:AF45"/>
  <sheetViews>
    <sheetView zoomScale="56" zoomScaleNormal="56" workbookViewId="0">
      <selection activeCell="X8" sqref="X8:Z18"/>
    </sheetView>
  </sheetViews>
  <sheetFormatPr defaultRowHeight="12.75" x14ac:dyDescent="0.2"/>
  <cols>
    <col min="1" max="1" width="7.5703125" customWidth="1"/>
    <col min="2" max="2" width="15.140625" style="1" customWidth="1"/>
    <col min="3" max="3" width="10.42578125" style="1" customWidth="1"/>
    <col min="4" max="4" width="9.28515625" style="1" customWidth="1"/>
    <col min="5" max="5" width="17.7109375" style="1" customWidth="1"/>
    <col min="6" max="6" width="19.140625" style="1" customWidth="1"/>
    <col min="7" max="7" width="8.5703125" style="1" hidden="1" customWidth="1"/>
    <col min="8" max="8" width="10.28515625" style="1" hidden="1" customWidth="1"/>
    <col min="9" max="9" width="5.140625" style="1" customWidth="1"/>
    <col min="10" max="10" width="5.5703125" style="1" customWidth="1"/>
    <col min="11" max="11" width="5" style="1" customWidth="1"/>
    <col min="12" max="12" width="11.7109375" style="1" customWidth="1"/>
    <col min="13" max="13" width="8.42578125" style="1" customWidth="1"/>
    <col min="14" max="14" width="8" style="1" customWidth="1"/>
    <col min="15" max="15" width="10.28515625" style="1" customWidth="1"/>
    <col min="16" max="16" width="20" style="1" customWidth="1"/>
    <col min="17" max="17" width="19.5703125" style="1" bestFit="1" customWidth="1"/>
    <col min="18" max="18" width="16" style="1" bestFit="1" customWidth="1"/>
    <col min="19" max="19" width="19.5703125" style="1" bestFit="1" customWidth="1"/>
    <col min="20" max="20" width="13.140625" style="1" customWidth="1"/>
    <col min="21" max="21" width="10.85546875" style="1" customWidth="1"/>
    <col min="22" max="22" width="13.85546875" style="1" customWidth="1"/>
    <col min="23" max="23" width="17.5703125" style="1" customWidth="1"/>
    <col min="24" max="24" width="24" style="1" customWidth="1"/>
    <col min="25" max="25" width="19.28515625" style="1" customWidth="1"/>
    <col min="26" max="26" width="24.85546875" style="1" customWidth="1"/>
  </cols>
  <sheetData>
    <row r="1" spans="1:32" ht="43.5" customHeight="1" x14ac:dyDescent="0.4">
      <c r="A1" s="134" t="s">
        <v>10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6"/>
    </row>
    <row r="2" spans="1:32" ht="37.5" customHeight="1" x14ac:dyDescent="0.2">
      <c r="A2" s="137" t="s">
        <v>106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9"/>
    </row>
    <row r="3" spans="1:32" ht="30" customHeight="1" x14ac:dyDescent="0.2">
      <c r="A3" s="137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9"/>
    </row>
    <row r="4" spans="1:32" ht="36" customHeight="1" thickBot="1" x14ac:dyDescent="0.25">
      <c r="A4" s="137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9"/>
    </row>
    <row r="5" spans="1:32" s="3" customFormat="1" ht="68.25" customHeight="1" x14ac:dyDescent="0.3">
      <c r="A5" s="217" t="s">
        <v>9</v>
      </c>
      <c r="B5" s="200" t="s">
        <v>1</v>
      </c>
      <c r="C5" s="200" t="s">
        <v>2</v>
      </c>
      <c r="D5" s="200" t="s">
        <v>15</v>
      </c>
      <c r="E5" s="202" t="s">
        <v>5</v>
      </c>
      <c r="F5" s="203"/>
      <c r="G5" s="203"/>
      <c r="H5" s="204"/>
      <c r="I5" s="208" t="s">
        <v>16</v>
      </c>
      <c r="J5" s="209"/>
      <c r="K5" s="209"/>
      <c r="L5" s="210"/>
      <c r="M5" s="208" t="s">
        <v>3</v>
      </c>
      <c r="N5" s="209"/>
      <c r="O5" s="210"/>
      <c r="P5" s="200" t="s">
        <v>17</v>
      </c>
      <c r="Q5" s="200" t="s">
        <v>22</v>
      </c>
      <c r="R5" s="200" t="s">
        <v>75</v>
      </c>
      <c r="S5" s="200" t="s">
        <v>26</v>
      </c>
      <c r="T5" s="200" t="s">
        <v>27</v>
      </c>
      <c r="U5" s="200" t="s">
        <v>31</v>
      </c>
      <c r="V5" s="200" t="s">
        <v>18</v>
      </c>
      <c r="W5" s="200" t="s">
        <v>0</v>
      </c>
      <c r="X5" s="200" t="s">
        <v>8</v>
      </c>
      <c r="Y5" s="200" t="s">
        <v>7</v>
      </c>
      <c r="Z5" s="200" t="s">
        <v>4</v>
      </c>
    </row>
    <row r="6" spans="1:32" s="3" customFormat="1" ht="114" customHeight="1" thickBot="1" x14ac:dyDescent="0.35">
      <c r="A6" s="218"/>
      <c r="B6" s="201"/>
      <c r="C6" s="201"/>
      <c r="D6" s="201"/>
      <c r="E6" s="205"/>
      <c r="F6" s="206"/>
      <c r="G6" s="206"/>
      <c r="H6" s="207"/>
      <c r="I6" s="211"/>
      <c r="J6" s="212"/>
      <c r="K6" s="212"/>
      <c r="L6" s="213"/>
      <c r="M6" s="211"/>
      <c r="N6" s="212"/>
      <c r="O6" s="213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1"/>
      <c r="AA6" s="4"/>
      <c r="AB6" s="4"/>
      <c r="AC6" s="4"/>
      <c r="AD6" s="4"/>
      <c r="AE6" s="4"/>
      <c r="AF6" s="4"/>
    </row>
    <row r="7" spans="1:32" s="3" customFormat="1" ht="39" customHeight="1" thickBot="1" x14ac:dyDescent="0.35">
      <c r="A7" s="86"/>
      <c r="B7" s="92"/>
      <c r="C7" s="92"/>
      <c r="D7" s="92"/>
      <c r="E7" s="147"/>
      <c r="F7" s="148"/>
      <c r="G7" s="93"/>
      <c r="H7" s="93"/>
      <c r="I7" s="144"/>
      <c r="J7" s="145"/>
      <c r="K7" s="145"/>
      <c r="L7" s="146"/>
      <c r="M7" s="144"/>
      <c r="N7" s="145"/>
      <c r="O7" s="146"/>
      <c r="P7" s="92"/>
      <c r="Q7" s="92" t="s">
        <v>19</v>
      </c>
      <c r="R7" s="92" t="s">
        <v>20</v>
      </c>
      <c r="S7" s="92" t="s">
        <v>21</v>
      </c>
      <c r="T7" s="92" t="s">
        <v>24</v>
      </c>
      <c r="U7" s="92" t="s">
        <v>23</v>
      </c>
      <c r="V7" s="92"/>
      <c r="W7" s="92" t="s">
        <v>25</v>
      </c>
      <c r="X7" s="92"/>
      <c r="Y7" s="92"/>
      <c r="Z7" s="92"/>
      <c r="AA7" s="4"/>
      <c r="AB7" s="4"/>
      <c r="AC7" s="4"/>
      <c r="AD7" s="4"/>
      <c r="AE7" s="4"/>
      <c r="AF7" s="4"/>
    </row>
    <row r="8" spans="1:32" ht="59.25" customHeight="1" thickBot="1" x14ac:dyDescent="0.35">
      <c r="A8" s="28">
        <v>1</v>
      </c>
      <c r="B8" s="29"/>
      <c r="C8" s="35"/>
      <c r="D8" s="110"/>
      <c r="E8" s="198"/>
      <c r="F8" s="199"/>
      <c r="G8" s="44"/>
      <c r="H8" s="44"/>
      <c r="I8" s="214"/>
      <c r="J8" s="215"/>
      <c r="K8" s="215"/>
      <c r="L8" s="216"/>
      <c r="M8" s="214"/>
      <c r="N8" s="215"/>
      <c r="O8" s="216"/>
      <c r="P8" s="30"/>
      <c r="Q8" s="36"/>
      <c r="R8" s="49">
        <f>Q8*0.2</f>
        <v>0</v>
      </c>
      <c r="S8" s="31">
        <f t="shared" ref="S8:S18" si="0">Q8+R8</f>
        <v>0</v>
      </c>
      <c r="T8" s="32"/>
      <c r="U8" s="31"/>
      <c r="V8" s="31">
        <f>Q8*0.00948</f>
        <v>0</v>
      </c>
      <c r="W8" s="36">
        <f t="shared" ref="W8:W18" si="1">SUM(S8:V8)</f>
        <v>0</v>
      </c>
      <c r="X8" s="37"/>
      <c r="Y8" s="30"/>
      <c r="Z8" s="38"/>
    </row>
    <row r="9" spans="1:32" ht="49.5" customHeight="1" thickBot="1" x14ac:dyDescent="0.25">
      <c r="A9" s="28">
        <v>2</v>
      </c>
      <c r="B9" s="29"/>
      <c r="C9" s="35"/>
      <c r="D9" s="110"/>
      <c r="E9" s="214"/>
      <c r="F9" s="215"/>
      <c r="G9" s="215"/>
      <c r="H9" s="216"/>
      <c r="I9" s="214"/>
      <c r="J9" s="215"/>
      <c r="K9" s="215"/>
      <c r="L9" s="216"/>
      <c r="M9" s="214"/>
      <c r="N9" s="215"/>
      <c r="O9" s="216"/>
      <c r="P9" s="30"/>
      <c r="Q9" s="36"/>
      <c r="R9" s="49">
        <f t="shared" ref="R9:R18" si="2">Q9*0.2</f>
        <v>0</v>
      </c>
      <c r="S9" s="31">
        <f t="shared" si="0"/>
        <v>0</v>
      </c>
      <c r="T9" s="32"/>
      <c r="U9" s="31"/>
      <c r="V9" s="31">
        <f t="shared" ref="V9:V18" si="3">Q9*0.00948</f>
        <v>0</v>
      </c>
      <c r="W9" s="36">
        <f t="shared" si="1"/>
        <v>0</v>
      </c>
      <c r="X9" s="30"/>
      <c r="Y9" s="30"/>
      <c r="Z9" s="38"/>
    </row>
    <row r="10" spans="1:32" ht="61.5" customHeight="1" thickBot="1" x14ac:dyDescent="0.25">
      <c r="A10" s="28">
        <v>3</v>
      </c>
      <c r="B10" s="29"/>
      <c r="C10" s="35"/>
      <c r="D10" s="110"/>
      <c r="E10" s="214"/>
      <c r="F10" s="215"/>
      <c r="G10" s="215"/>
      <c r="H10" s="216"/>
      <c r="I10" s="214"/>
      <c r="J10" s="215"/>
      <c r="K10" s="215"/>
      <c r="L10" s="216"/>
      <c r="M10" s="214"/>
      <c r="N10" s="215"/>
      <c r="O10" s="216"/>
      <c r="P10" s="30"/>
      <c r="Q10" s="36"/>
      <c r="R10" s="49">
        <f t="shared" si="2"/>
        <v>0</v>
      </c>
      <c r="S10" s="31">
        <f t="shared" si="0"/>
        <v>0</v>
      </c>
      <c r="T10" s="32"/>
      <c r="U10" s="31"/>
      <c r="V10" s="31">
        <f t="shared" si="3"/>
        <v>0</v>
      </c>
      <c r="W10" s="36">
        <f t="shared" si="1"/>
        <v>0</v>
      </c>
      <c r="X10" s="85"/>
      <c r="Y10" s="30"/>
      <c r="Z10" s="38"/>
    </row>
    <row r="11" spans="1:32" ht="69" customHeight="1" thickBot="1" x14ac:dyDescent="0.35">
      <c r="A11" s="28">
        <v>4</v>
      </c>
      <c r="B11" s="29"/>
      <c r="C11" s="35"/>
      <c r="D11" s="110"/>
      <c r="E11" s="198"/>
      <c r="F11" s="199"/>
      <c r="G11" s="44"/>
      <c r="H11" s="44"/>
      <c r="I11" s="214"/>
      <c r="J11" s="215"/>
      <c r="K11" s="215"/>
      <c r="L11" s="216"/>
      <c r="M11" s="214"/>
      <c r="N11" s="215"/>
      <c r="O11" s="216"/>
      <c r="P11" s="30"/>
      <c r="Q11" s="36"/>
      <c r="R11" s="49">
        <f t="shared" si="2"/>
        <v>0</v>
      </c>
      <c r="S11" s="31">
        <f t="shared" si="0"/>
        <v>0</v>
      </c>
      <c r="T11" s="32"/>
      <c r="U11" s="31"/>
      <c r="V11" s="31">
        <f t="shared" si="3"/>
        <v>0</v>
      </c>
      <c r="W11" s="36">
        <f t="shared" si="1"/>
        <v>0</v>
      </c>
      <c r="X11" s="30"/>
      <c r="Y11" s="30"/>
      <c r="Z11" s="38"/>
    </row>
    <row r="12" spans="1:32" ht="62.25" customHeight="1" thickBot="1" x14ac:dyDescent="0.35">
      <c r="A12" s="28">
        <v>5</v>
      </c>
      <c r="B12" s="29"/>
      <c r="C12" s="35"/>
      <c r="D12" s="110"/>
      <c r="E12" s="198"/>
      <c r="F12" s="199"/>
      <c r="G12" s="44"/>
      <c r="H12" s="44"/>
      <c r="I12" s="214"/>
      <c r="J12" s="215"/>
      <c r="K12" s="215"/>
      <c r="L12" s="216"/>
      <c r="M12" s="214"/>
      <c r="N12" s="215"/>
      <c r="O12" s="216"/>
      <c r="P12" s="30"/>
      <c r="Q12" s="36"/>
      <c r="R12" s="49">
        <f t="shared" si="2"/>
        <v>0</v>
      </c>
      <c r="S12" s="31">
        <f t="shared" si="0"/>
        <v>0</v>
      </c>
      <c r="T12" s="32"/>
      <c r="U12" s="31"/>
      <c r="V12" s="31">
        <f t="shared" si="3"/>
        <v>0</v>
      </c>
      <c r="W12" s="36">
        <f t="shared" si="1"/>
        <v>0</v>
      </c>
      <c r="X12" s="30"/>
      <c r="Y12" s="30"/>
      <c r="Z12" s="38"/>
    </row>
    <row r="13" spans="1:32" ht="60" customHeight="1" thickBot="1" x14ac:dyDescent="0.35">
      <c r="A13" s="28">
        <v>6</v>
      </c>
      <c r="B13" s="29"/>
      <c r="C13" s="35"/>
      <c r="D13" s="110"/>
      <c r="E13" s="198"/>
      <c r="F13" s="199"/>
      <c r="G13" s="44"/>
      <c r="H13" s="44"/>
      <c r="I13" s="214"/>
      <c r="J13" s="215"/>
      <c r="K13" s="215"/>
      <c r="L13" s="216"/>
      <c r="M13" s="214"/>
      <c r="N13" s="215"/>
      <c r="O13" s="216"/>
      <c r="P13" s="30"/>
      <c r="Q13" s="36"/>
      <c r="R13" s="49">
        <f t="shared" si="2"/>
        <v>0</v>
      </c>
      <c r="S13" s="31">
        <f t="shared" si="0"/>
        <v>0</v>
      </c>
      <c r="T13" s="32"/>
      <c r="U13" s="31"/>
      <c r="V13" s="31">
        <f t="shared" si="3"/>
        <v>0</v>
      </c>
      <c r="W13" s="36">
        <f t="shared" si="1"/>
        <v>0</v>
      </c>
      <c r="X13" s="30"/>
      <c r="Y13" s="30"/>
      <c r="Z13" s="38"/>
    </row>
    <row r="14" spans="1:32" ht="63.75" customHeight="1" thickBot="1" x14ac:dyDescent="0.35">
      <c r="A14" s="28">
        <v>7</v>
      </c>
      <c r="B14" s="29"/>
      <c r="C14" s="35"/>
      <c r="D14" s="110"/>
      <c r="E14" s="198"/>
      <c r="F14" s="199"/>
      <c r="G14" s="44"/>
      <c r="H14" s="44"/>
      <c r="I14" s="214"/>
      <c r="J14" s="215"/>
      <c r="K14" s="215"/>
      <c r="L14" s="216"/>
      <c r="M14" s="214"/>
      <c r="N14" s="215"/>
      <c r="O14" s="216"/>
      <c r="P14" s="30"/>
      <c r="Q14" s="36"/>
      <c r="R14" s="49">
        <f t="shared" si="2"/>
        <v>0</v>
      </c>
      <c r="S14" s="31">
        <f t="shared" si="0"/>
        <v>0</v>
      </c>
      <c r="T14" s="32"/>
      <c r="U14" s="31"/>
      <c r="V14" s="31">
        <f t="shared" si="3"/>
        <v>0</v>
      </c>
      <c r="W14" s="36">
        <f t="shared" si="1"/>
        <v>0</v>
      </c>
      <c r="X14" s="30"/>
      <c r="Y14" s="30"/>
      <c r="Z14" s="38"/>
    </row>
    <row r="15" spans="1:32" ht="26.25" hidden="1" customHeight="1" thickBot="1" x14ac:dyDescent="0.35">
      <c r="A15" s="28">
        <v>8</v>
      </c>
      <c r="B15" s="29"/>
      <c r="C15" s="35"/>
      <c r="D15" s="110"/>
      <c r="E15" s="105"/>
      <c r="F15" s="106"/>
      <c r="G15" s="44"/>
      <c r="H15" s="44"/>
      <c r="I15" s="107"/>
      <c r="J15" s="108"/>
      <c r="K15" s="108"/>
      <c r="L15" s="109"/>
      <c r="M15" s="107"/>
      <c r="N15" s="108"/>
      <c r="O15" s="109"/>
      <c r="P15" s="30"/>
      <c r="Q15" s="36"/>
      <c r="R15" s="49">
        <f t="shared" si="2"/>
        <v>0</v>
      </c>
      <c r="S15" s="31">
        <f t="shared" si="0"/>
        <v>0</v>
      </c>
      <c r="T15" s="32"/>
      <c r="U15" s="31"/>
      <c r="V15" s="31">
        <f t="shared" si="3"/>
        <v>0</v>
      </c>
      <c r="W15" s="36">
        <f t="shared" si="1"/>
        <v>0</v>
      </c>
      <c r="X15" s="30"/>
      <c r="Y15" s="30"/>
      <c r="Z15" s="38"/>
    </row>
    <row r="16" spans="1:32" ht="26.25" hidden="1" customHeight="1" thickBot="1" x14ac:dyDescent="0.35">
      <c r="A16" s="28">
        <v>9</v>
      </c>
      <c r="B16" s="29"/>
      <c r="C16" s="35"/>
      <c r="D16" s="110"/>
      <c r="E16" s="105"/>
      <c r="F16" s="106"/>
      <c r="G16" s="44"/>
      <c r="H16" s="44"/>
      <c r="I16" s="107"/>
      <c r="J16" s="108"/>
      <c r="K16" s="108"/>
      <c r="L16" s="109"/>
      <c r="M16" s="107"/>
      <c r="N16" s="108"/>
      <c r="O16" s="109"/>
      <c r="P16" s="30"/>
      <c r="Q16" s="36"/>
      <c r="R16" s="49">
        <f t="shared" si="2"/>
        <v>0</v>
      </c>
      <c r="S16" s="31">
        <f t="shared" si="0"/>
        <v>0</v>
      </c>
      <c r="T16" s="32"/>
      <c r="U16" s="31"/>
      <c r="V16" s="31">
        <f t="shared" si="3"/>
        <v>0</v>
      </c>
      <c r="W16" s="36">
        <f t="shared" si="1"/>
        <v>0</v>
      </c>
      <c r="X16" s="30"/>
      <c r="Y16" s="30"/>
      <c r="Z16" s="38"/>
    </row>
    <row r="17" spans="1:26" ht="58.5" customHeight="1" thickBot="1" x14ac:dyDescent="0.35">
      <c r="A17" s="28">
        <v>10</v>
      </c>
      <c r="B17" s="29"/>
      <c r="C17" s="35"/>
      <c r="D17" s="110"/>
      <c r="E17" s="198"/>
      <c r="F17" s="199"/>
      <c r="G17" s="44"/>
      <c r="H17" s="44"/>
      <c r="I17" s="214"/>
      <c r="J17" s="215"/>
      <c r="K17" s="215"/>
      <c r="L17" s="216"/>
      <c r="M17" s="214"/>
      <c r="N17" s="215"/>
      <c r="O17" s="216"/>
      <c r="P17" s="30"/>
      <c r="Q17" s="36"/>
      <c r="R17" s="49">
        <f t="shared" si="2"/>
        <v>0</v>
      </c>
      <c r="S17" s="31">
        <f t="shared" si="0"/>
        <v>0</v>
      </c>
      <c r="T17" s="36"/>
      <c r="U17" s="36"/>
      <c r="V17" s="31">
        <f t="shared" si="3"/>
        <v>0</v>
      </c>
      <c r="W17" s="36">
        <f t="shared" si="1"/>
        <v>0</v>
      </c>
      <c r="X17" s="30"/>
      <c r="Y17" s="30"/>
      <c r="Z17" s="38"/>
    </row>
    <row r="18" spans="1:26" ht="68.25" customHeight="1" thickBot="1" x14ac:dyDescent="0.35">
      <c r="A18" s="28">
        <v>11</v>
      </c>
      <c r="B18" s="29"/>
      <c r="C18" s="35"/>
      <c r="D18" s="110"/>
      <c r="E18" s="198"/>
      <c r="F18" s="199"/>
      <c r="G18" s="44"/>
      <c r="H18" s="44"/>
      <c r="I18" s="214"/>
      <c r="J18" s="215"/>
      <c r="K18" s="215"/>
      <c r="L18" s="216"/>
      <c r="M18" s="214"/>
      <c r="N18" s="215"/>
      <c r="O18" s="216"/>
      <c r="P18" s="30"/>
      <c r="Q18" s="36"/>
      <c r="R18" s="49">
        <f t="shared" si="2"/>
        <v>0</v>
      </c>
      <c r="S18" s="31">
        <f t="shared" si="0"/>
        <v>0</v>
      </c>
      <c r="T18" s="32"/>
      <c r="U18" s="31"/>
      <c r="V18" s="31">
        <f t="shared" si="3"/>
        <v>0</v>
      </c>
      <c r="W18" s="36">
        <f t="shared" si="1"/>
        <v>0</v>
      </c>
      <c r="X18" s="30"/>
      <c r="Y18" s="30"/>
      <c r="Z18" s="38"/>
    </row>
    <row r="19" spans="1:26" ht="58.5" customHeight="1" thickBot="1" x14ac:dyDescent="0.35">
      <c r="A19" s="28">
        <v>12</v>
      </c>
      <c r="B19" s="29"/>
      <c r="C19" s="35"/>
      <c r="D19" s="99"/>
      <c r="E19" s="198"/>
      <c r="F19" s="199"/>
      <c r="G19" s="44"/>
      <c r="H19" s="44"/>
      <c r="I19" s="214"/>
      <c r="J19" s="215"/>
      <c r="K19" s="215"/>
      <c r="L19" s="216"/>
      <c r="M19" s="214"/>
      <c r="N19" s="215"/>
      <c r="O19" s="216"/>
      <c r="P19" s="30"/>
      <c r="Q19" s="36"/>
      <c r="R19" s="49"/>
      <c r="S19" s="31"/>
      <c r="T19" s="32"/>
      <c r="U19" s="31"/>
      <c r="V19" s="31"/>
      <c r="W19" s="36"/>
      <c r="X19" s="30"/>
      <c r="Y19" s="30"/>
      <c r="Z19" s="29"/>
    </row>
    <row r="20" spans="1:26" ht="26.25" hidden="1" customHeight="1" thickBot="1" x14ac:dyDescent="0.35">
      <c r="A20" s="28">
        <v>13</v>
      </c>
      <c r="B20" s="29"/>
      <c r="C20" s="35"/>
      <c r="D20" s="99"/>
      <c r="E20" s="94"/>
      <c r="F20" s="95"/>
      <c r="G20" s="44"/>
      <c r="H20" s="44"/>
      <c r="I20" s="96"/>
      <c r="J20" s="97"/>
      <c r="K20" s="97"/>
      <c r="L20" s="98"/>
      <c r="M20" s="96"/>
      <c r="N20" s="97"/>
      <c r="O20" s="98"/>
      <c r="P20" s="30"/>
      <c r="Q20" s="36"/>
      <c r="R20" s="49"/>
      <c r="S20" s="31"/>
      <c r="T20" s="32"/>
      <c r="U20" s="31"/>
      <c r="V20" s="31"/>
      <c r="W20" s="36"/>
      <c r="X20" s="30"/>
      <c r="Y20" s="30"/>
      <c r="Z20" s="29"/>
    </row>
    <row r="21" spans="1:26" ht="26.25" hidden="1" customHeight="1" thickBot="1" x14ac:dyDescent="0.35">
      <c r="A21" s="28">
        <v>14</v>
      </c>
      <c r="B21" s="29"/>
      <c r="C21" s="35"/>
      <c r="D21" s="99"/>
      <c r="E21" s="94"/>
      <c r="F21" s="95"/>
      <c r="G21" s="44"/>
      <c r="H21" s="44"/>
      <c r="I21" s="96"/>
      <c r="J21" s="97"/>
      <c r="K21" s="97"/>
      <c r="L21" s="98"/>
      <c r="M21" s="96"/>
      <c r="N21" s="97"/>
      <c r="O21" s="98"/>
      <c r="P21" s="30"/>
      <c r="Q21" s="36"/>
      <c r="R21" s="49"/>
      <c r="S21" s="31"/>
      <c r="T21" s="32"/>
      <c r="U21" s="31"/>
      <c r="V21" s="31"/>
      <c r="W21" s="36"/>
      <c r="X21" s="30"/>
      <c r="Y21" s="30"/>
      <c r="Z21" s="29"/>
    </row>
    <row r="22" spans="1:26" ht="26.25" hidden="1" customHeight="1" thickBot="1" x14ac:dyDescent="0.35">
      <c r="A22" s="28">
        <v>15</v>
      </c>
      <c r="B22" s="29"/>
      <c r="C22" s="35"/>
      <c r="D22" s="99"/>
      <c r="E22" s="94"/>
      <c r="F22" s="95"/>
      <c r="G22" s="44"/>
      <c r="H22" s="44"/>
      <c r="I22" s="96"/>
      <c r="J22" s="97"/>
      <c r="K22" s="97"/>
      <c r="L22" s="98"/>
      <c r="M22" s="96"/>
      <c r="N22" s="97"/>
      <c r="O22" s="98"/>
      <c r="P22" s="30"/>
      <c r="Q22" s="36"/>
      <c r="R22" s="49"/>
      <c r="S22" s="31"/>
      <c r="T22" s="32"/>
      <c r="U22" s="31"/>
      <c r="V22" s="31"/>
      <c r="W22" s="36"/>
      <c r="X22" s="30"/>
      <c r="Y22" s="30"/>
      <c r="Z22" s="29"/>
    </row>
    <row r="23" spans="1:26" ht="26.25" hidden="1" customHeight="1" thickBot="1" x14ac:dyDescent="0.35">
      <c r="A23" s="28">
        <v>16</v>
      </c>
      <c r="B23" s="29"/>
      <c r="C23" s="35"/>
      <c r="D23" s="99"/>
      <c r="E23" s="94"/>
      <c r="F23" s="95"/>
      <c r="G23" s="44"/>
      <c r="H23" s="44"/>
      <c r="I23" s="96"/>
      <c r="J23" s="97"/>
      <c r="K23" s="97"/>
      <c r="L23" s="98"/>
      <c r="M23" s="96"/>
      <c r="N23" s="97"/>
      <c r="O23" s="98"/>
      <c r="P23" s="30"/>
      <c r="Q23" s="36"/>
      <c r="R23" s="49"/>
      <c r="S23" s="31"/>
      <c r="T23" s="32"/>
      <c r="U23" s="31"/>
      <c r="V23" s="31"/>
      <c r="W23" s="36"/>
      <c r="X23" s="30"/>
      <c r="Y23" s="30"/>
      <c r="Z23" s="29"/>
    </row>
    <row r="24" spans="1:26" ht="26.25" hidden="1" customHeight="1" thickBot="1" x14ac:dyDescent="0.35">
      <c r="A24" s="28">
        <v>17</v>
      </c>
      <c r="B24" s="29"/>
      <c r="C24" s="35"/>
      <c r="D24" s="99"/>
      <c r="E24" s="94"/>
      <c r="F24" s="95"/>
      <c r="G24" s="44"/>
      <c r="H24" s="44"/>
      <c r="I24" s="96"/>
      <c r="J24" s="97"/>
      <c r="K24" s="97"/>
      <c r="L24" s="98"/>
      <c r="M24" s="96"/>
      <c r="N24" s="97"/>
      <c r="O24" s="98"/>
      <c r="P24" s="30"/>
      <c r="Q24" s="36"/>
      <c r="R24" s="49"/>
      <c r="S24" s="31"/>
      <c r="T24" s="32"/>
      <c r="U24" s="31"/>
      <c r="V24" s="31"/>
      <c r="W24" s="36"/>
      <c r="X24" s="30"/>
      <c r="Y24" s="30"/>
      <c r="Z24" s="29"/>
    </row>
    <row r="25" spans="1:26" ht="26.25" hidden="1" customHeight="1" thickBot="1" x14ac:dyDescent="0.35">
      <c r="A25" s="28">
        <v>18</v>
      </c>
      <c r="B25" s="29"/>
      <c r="C25" s="35"/>
      <c r="D25" s="99"/>
      <c r="E25" s="94"/>
      <c r="F25" s="95"/>
      <c r="G25" s="44"/>
      <c r="H25" s="44"/>
      <c r="I25" s="96"/>
      <c r="J25" s="97"/>
      <c r="K25" s="97"/>
      <c r="L25" s="98"/>
      <c r="M25" s="96"/>
      <c r="N25" s="97"/>
      <c r="O25" s="98"/>
      <c r="P25" s="30"/>
      <c r="Q25" s="36"/>
      <c r="R25" s="49"/>
      <c r="S25" s="31"/>
      <c r="T25" s="32"/>
      <c r="U25" s="31"/>
      <c r="V25" s="31"/>
      <c r="W25" s="36"/>
      <c r="X25" s="30"/>
      <c r="Y25" s="30"/>
      <c r="Z25" s="29"/>
    </row>
    <row r="26" spans="1:26" ht="26.25" hidden="1" customHeight="1" thickBot="1" x14ac:dyDescent="0.35">
      <c r="A26" s="28">
        <v>19</v>
      </c>
      <c r="B26" s="29"/>
      <c r="C26" s="35"/>
      <c r="D26" s="99"/>
      <c r="E26" s="94"/>
      <c r="F26" s="95"/>
      <c r="G26" s="44"/>
      <c r="H26" s="44"/>
      <c r="I26" s="96"/>
      <c r="J26" s="97"/>
      <c r="K26" s="97"/>
      <c r="L26" s="98"/>
      <c r="M26" s="96"/>
      <c r="N26" s="97"/>
      <c r="O26" s="98"/>
      <c r="P26" s="30"/>
      <c r="Q26" s="36"/>
      <c r="R26" s="49"/>
      <c r="S26" s="31"/>
      <c r="T26" s="32"/>
      <c r="U26" s="31"/>
      <c r="V26" s="31"/>
      <c r="W26" s="36"/>
      <c r="X26" s="30"/>
      <c r="Y26" s="30"/>
      <c r="Z26" s="29"/>
    </row>
    <row r="27" spans="1:26" ht="26.25" hidden="1" customHeight="1" thickBot="1" x14ac:dyDescent="0.35">
      <c r="A27" s="28">
        <v>20</v>
      </c>
      <c r="B27" s="29"/>
      <c r="C27" s="35"/>
      <c r="D27" s="99"/>
      <c r="E27" s="94"/>
      <c r="F27" s="95"/>
      <c r="G27" s="44"/>
      <c r="H27" s="44"/>
      <c r="I27" s="96"/>
      <c r="J27" s="97"/>
      <c r="K27" s="97"/>
      <c r="L27" s="98"/>
      <c r="M27" s="96"/>
      <c r="N27" s="97"/>
      <c r="O27" s="98"/>
      <c r="P27" s="30"/>
      <c r="Q27" s="36"/>
      <c r="R27" s="49"/>
      <c r="S27" s="31"/>
      <c r="T27" s="32"/>
      <c r="U27" s="31"/>
      <c r="V27" s="31"/>
      <c r="W27" s="36"/>
      <c r="X27" s="30"/>
      <c r="Y27" s="30"/>
      <c r="Z27" s="29"/>
    </row>
    <row r="28" spans="1:26" ht="26.25" hidden="1" customHeight="1" thickBot="1" x14ac:dyDescent="0.35">
      <c r="A28" s="28">
        <v>21</v>
      </c>
      <c r="B28" s="29"/>
      <c r="C28" s="35"/>
      <c r="D28" s="99"/>
      <c r="E28" s="94"/>
      <c r="F28" s="95"/>
      <c r="G28" s="44"/>
      <c r="H28" s="44"/>
      <c r="I28" s="96"/>
      <c r="J28" s="97"/>
      <c r="K28" s="97"/>
      <c r="L28" s="98"/>
      <c r="M28" s="96"/>
      <c r="N28" s="97"/>
      <c r="O28" s="98"/>
      <c r="P28" s="30"/>
      <c r="Q28" s="36"/>
      <c r="R28" s="49"/>
      <c r="S28" s="31"/>
      <c r="T28" s="32"/>
      <c r="U28" s="31"/>
      <c r="V28" s="31"/>
      <c r="W28" s="36"/>
      <c r="X28" s="30"/>
      <c r="Y28" s="30"/>
      <c r="Z28" s="29"/>
    </row>
    <row r="29" spans="1:26" ht="26.25" hidden="1" customHeight="1" thickBot="1" x14ac:dyDescent="0.35">
      <c r="A29" s="28">
        <v>22</v>
      </c>
      <c r="B29" s="29"/>
      <c r="C29" s="35"/>
      <c r="D29" s="99"/>
      <c r="E29" s="94"/>
      <c r="F29" s="95"/>
      <c r="G29" s="44"/>
      <c r="H29" s="44"/>
      <c r="I29" s="96"/>
      <c r="J29" s="97"/>
      <c r="K29" s="97"/>
      <c r="L29" s="98"/>
      <c r="M29" s="96"/>
      <c r="N29" s="97"/>
      <c r="O29" s="98"/>
      <c r="P29" s="30"/>
      <c r="Q29" s="36"/>
      <c r="R29" s="49"/>
      <c r="S29" s="31"/>
      <c r="T29" s="32"/>
      <c r="U29" s="31"/>
      <c r="V29" s="31"/>
      <c r="W29" s="36"/>
      <c r="X29" s="30"/>
      <c r="Y29" s="30"/>
      <c r="Z29" s="29"/>
    </row>
    <row r="30" spans="1:26" ht="26.25" hidden="1" customHeight="1" thickBot="1" x14ac:dyDescent="0.35">
      <c r="A30" s="28">
        <v>23</v>
      </c>
      <c r="B30" s="29"/>
      <c r="C30" s="35"/>
      <c r="D30" s="99"/>
      <c r="E30" s="94"/>
      <c r="F30" s="95"/>
      <c r="G30" s="44"/>
      <c r="H30" s="44"/>
      <c r="I30" s="96"/>
      <c r="J30" s="97"/>
      <c r="K30" s="97"/>
      <c r="L30" s="98"/>
      <c r="M30" s="96"/>
      <c r="N30" s="97"/>
      <c r="O30" s="98"/>
      <c r="P30" s="30"/>
      <c r="Q30" s="36"/>
      <c r="R30" s="49"/>
      <c r="S30" s="31"/>
      <c r="T30" s="32"/>
      <c r="U30" s="31"/>
      <c r="V30" s="31"/>
      <c r="W30" s="36"/>
      <c r="X30" s="30"/>
      <c r="Y30" s="30"/>
      <c r="Z30" s="29"/>
    </row>
    <row r="31" spans="1:26" ht="26.25" hidden="1" customHeight="1" thickBot="1" x14ac:dyDescent="0.35">
      <c r="A31" s="28">
        <v>24</v>
      </c>
      <c r="B31" s="29"/>
      <c r="C31" s="35"/>
      <c r="D31" s="99"/>
      <c r="E31" s="94"/>
      <c r="F31" s="95"/>
      <c r="G31" s="44"/>
      <c r="H31" s="44"/>
      <c r="I31" s="96"/>
      <c r="J31" s="97"/>
      <c r="K31" s="97"/>
      <c r="L31" s="98"/>
      <c r="M31" s="96"/>
      <c r="N31" s="97"/>
      <c r="O31" s="98"/>
      <c r="P31" s="30"/>
      <c r="Q31" s="36"/>
      <c r="R31" s="49"/>
      <c r="S31" s="31"/>
      <c r="T31" s="32"/>
      <c r="U31" s="31"/>
      <c r="V31" s="31"/>
      <c r="W31" s="36"/>
      <c r="X31" s="30"/>
      <c r="Y31" s="30"/>
      <c r="Z31" s="29"/>
    </row>
    <row r="32" spans="1:26" ht="26.25" hidden="1" customHeight="1" thickBot="1" x14ac:dyDescent="0.35">
      <c r="A32" s="28">
        <v>25</v>
      </c>
      <c r="B32" s="29"/>
      <c r="C32" s="35"/>
      <c r="D32" s="99"/>
      <c r="E32" s="94"/>
      <c r="F32" s="95"/>
      <c r="G32" s="44"/>
      <c r="H32" s="44"/>
      <c r="I32" s="96"/>
      <c r="J32" s="97"/>
      <c r="K32" s="97"/>
      <c r="L32" s="98"/>
      <c r="M32" s="96"/>
      <c r="N32" s="97"/>
      <c r="O32" s="98"/>
      <c r="P32" s="30"/>
      <c r="Q32" s="36"/>
      <c r="R32" s="49"/>
      <c r="S32" s="31"/>
      <c r="T32" s="32"/>
      <c r="U32" s="31"/>
      <c r="V32" s="31"/>
      <c r="W32" s="36"/>
      <c r="X32" s="30"/>
      <c r="Y32" s="30"/>
      <c r="Z32" s="29"/>
    </row>
    <row r="33" spans="1:26" ht="79.5" customHeight="1" thickBot="1" x14ac:dyDescent="0.25">
      <c r="A33" s="195" t="s">
        <v>6</v>
      </c>
      <c r="B33" s="196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7"/>
      <c r="Q33" s="36">
        <f>SUM(Q8:Q32)</f>
        <v>0</v>
      </c>
      <c r="R33" s="31">
        <f>SUM(R8:R32)</f>
        <v>0</v>
      </c>
      <c r="S33" s="31">
        <f>SUM(S8:S32)</f>
        <v>0</v>
      </c>
      <c r="T33" s="33" t="s">
        <v>30</v>
      </c>
      <c r="U33" s="31"/>
      <c r="V33" s="31">
        <f>SUM(V8:V32)</f>
        <v>0</v>
      </c>
      <c r="W33" s="36">
        <f>SUM(W8:W32)</f>
        <v>0</v>
      </c>
      <c r="X33" s="32"/>
      <c r="Y33" s="30"/>
      <c r="Z33" s="34"/>
    </row>
    <row r="34" spans="1:26" ht="73.5" customHeight="1" thickBot="1" x14ac:dyDescent="0.4">
      <c r="A34" s="183" t="s">
        <v>28</v>
      </c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5"/>
      <c r="T34" s="189" t="s">
        <v>11</v>
      </c>
      <c r="U34" s="190"/>
      <c r="V34" s="191"/>
      <c r="W34" s="192" t="s">
        <v>73</v>
      </c>
      <c r="X34" s="193"/>
      <c r="Y34" s="193"/>
      <c r="Z34" s="194"/>
    </row>
    <row r="35" spans="1:26" ht="69.75" customHeight="1" thickBot="1" x14ac:dyDescent="0.4">
      <c r="A35" s="183" t="s">
        <v>29</v>
      </c>
      <c r="B35" s="184"/>
      <c r="C35" s="184"/>
      <c r="D35" s="184"/>
      <c r="E35" s="184"/>
      <c r="F35" s="184"/>
      <c r="G35" s="184"/>
      <c r="H35" s="184"/>
      <c r="I35" s="184"/>
      <c r="J35" s="184"/>
      <c r="K35" s="184"/>
      <c r="L35" s="184"/>
      <c r="M35" s="184"/>
      <c r="N35" s="184"/>
      <c r="O35" s="184"/>
      <c r="P35" s="184"/>
      <c r="Q35" s="184"/>
      <c r="R35" s="184"/>
      <c r="S35" s="185"/>
      <c r="T35" s="189" t="s">
        <v>12</v>
      </c>
      <c r="U35" s="190"/>
      <c r="V35" s="191"/>
      <c r="W35" s="192" t="s">
        <v>104</v>
      </c>
      <c r="X35" s="193"/>
      <c r="Y35" s="193"/>
      <c r="Z35" s="194"/>
    </row>
    <row r="36" spans="1:26" ht="39" customHeight="1" thickBot="1" x14ac:dyDescent="0.4">
      <c r="A36" s="180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2"/>
      <c r="T36" s="189" t="s">
        <v>13</v>
      </c>
      <c r="U36" s="190"/>
      <c r="V36" s="191"/>
      <c r="W36" s="192" t="s">
        <v>32</v>
      </c>
      <c r="X36" s="193"/>
      <c r="Y36" s="193"/>
      <c r="Z36" s="194"/>
    </row>
    <row r="37" spans="1:26" ht="57.75" customHeight="1" thickBot="1" x14ac:dyDescent="0.45">
      <c r="A37" s="177"/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s="178"/>
      <c r="N37" s="178"/>
      <c r="O37" s="178"/>
      <c r="P37" s="178"/>
      <c r="Q37" s="178"/>
      <c r="R37" s="178"/>
      <c r="S37" s="179"/>
      <c r="T37" s="189" t="s">
        <v>14</v>
      </c>
      <c r="U37" s="190"/>
      <c r="V37" s="191"/>
      <c r="W37" s="186"/>
      <c r="X37" s="187"/>
      <c r="Y37" s="187"/>
      <c r="Z37" s="188"/>
    </row>
    <row r="38" spans="1:26" ht="38.25" customHeight="1" x14ac:dyDescent="0.2">
      <c r="C38" s="2"/>
    </row>
    <row r="39" spans="1:26" ht="38.25" customHeight="1" x14ac:dyDescent="0.2"/>
    <row r="40" spans="1:26" ht="12.75" customHeight="1" x14ac:dyDescent="0.2"/>
    <row r="41" spans="1:26" ht="12.75" customHeight="1" x14ac:dyDescent="0.2"/>
    <row r="42" spans="1:26" ht="12.75" customHeight="1" x14ac:dyDescent="0.2"/>
    <row r="43" spans="1:26" ht="12.75" customHeight="1" x14ac:dyDescent="0.2"/>
    <row r="44" spans="1:26" ht="12.75" customHeight="1" x14ac:dyDescent="0.2"/>
    <row r="45" spans="1:26" ht="12.75" customHeight="1" x14ac:dyDescent="0.2"/>
  </sheetData>
  <autoFilter ref="A5:Z51" xr:uid="{00000000-0009-0000-0000-000005000000}">
    <filterColumn colId="4" showButton="0"/>
    <filterColumn colId="5" showButton="0"/>
    <filterColumn colId="6" showButton="0"/>
    <filterColumn colId="8" showButton="0"/>
    <filterColumn colId="9" showButton="0"/>
    <filterColumn colId="10" showButton="0"/>
    <filterColumn colId="12" showButton="0"/>
    <filterColumn colId="13" showButton="0"/>
  </autoFilter>
  <mergeCells count="66">
    <mergeCell ref="E19:F19"/>
    <mergeCell ref="I19:L19"/>
    <mergeCell ref="M19:O19"/>
    <mergeCell ref="E17:F17"/>
    <mergeCell ref="I17:L17"/>
    <mergeCell ref="M17:O17"/>
    <mergeCell ref="E18:F18"/>
    <mergeCell ref="I18:L18"/>
    <mergeCell ref="M18:O18"/>
    <mergeCell ref="A36:S36"/>
    <mergeCell ref="T36:V36"/>
    <mergeCell ref="W36:Z36"/>
    <mergeCell ref="A37:S37"/>
    <mergeCell ref="T37:V37"/>
    <mergeCell ref="W37:Z37"/>
    <mergeCell ref="A33:P33"/>
    <mergeCell ref="A34:S34"/>
    <mergeCell ref="T34:V34"/>
    <mergeCell ref="W34:Z34"/>
    <mergeCell ref="A35:S35"/>
    <mergeCell ref="T35:V35"/>
    <mergeCell ref="W35:Z35"/>
    <mergeCell ref="E12:F12"/>
    <mergeCell ref="I12:L12"/>
    <mergeCell ref="M12:O12"/>
    <mergeCell ref="E10:H10"/>
    <mergeCell ref="I10:L10"/>
    <mergeCell ref="M10:O10"/>
    <mergeCell ref="E11:F11"/>
    <mergeCell ref="I11:L11"/>
    <mergeCell ref="M11:O11"/>
    <mergeCell ref="A1:Z1"/>
    <mergeCell ref="A2:Z4"/>
    <mergeCell ref="A5:A6"/>
    <mergeCell ref="B5:B6"/>
    <mergeCell ref="C5:C6"/>
    <mergeCell ref="D5:D6"/>
    <mergeCell ref="E5:H6"/>
    <mergeCell ref="W5:W6"/>
    <mergeCell ref="X5:X6"/>
    <mergeCell ref="Y5:Y6"/>
    <mergeCell ref="Z5:Z6"/>
    <mergeCell ref="Q5:Q6"/>
    <mergeCell ref="R5:R6"/>
    <mergeCell ref="S5:S6"/>
    <mergeCell ref="E9:H9"/>
    <mergeCell ref="I9:L9"/>
    <mergeCell ref="M9:O9"/>
    <mergeCell ref="U5:U6"/>
    <mergeCell ref="V5:V6"/>
    <mergeCell ref="I7:L7"/>
    <mergeCell ref="M7:O7"/>
    <mergeCell ref="E7:F7"/>
    <mergeCell ref="I5:L6"/>
    <mergeCell ref="M5:O6"/>
    <mergeCell ref="P5:P6"/>
    <mergeCell ref="T5:T6"/>
    <mergeCell ref="E8:F8"/>
    <mergeCell ref="I8:L8"/>
    <mergeCell ref="M8:O8"/>
    <mergeCell ref="M14:O14"/>
    <mergeCell ref="I14:L14"/>
    <mergeCell ref="E14:F14"/>
    <mergeCell ref="M13:O13"/>
    <mergeCell ref="I13:L13"/>
    <mergeCell ref="E13:F13"/>
  </mergeCells>
  <phoneticPr fontId="27" type="noConversion"/>
  <pageMargins left="0.9055118110236221" right="0.15748031496062992" top="0.43307086614173229" bottom="0" header="0.15748031496062992" footer="0.15748031496062992"/>
  <pageSetup paperSize="9" scale="37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ayfa7"/>
  <dimension ref="A1:AF44"/>
  <sheetViews>
    <sheetView tabSelected="1" zoomScale="56" zoomScaleNormal="56" workbookViewId="0">
      <selection activeCell="X8" sqref="X8:Z32"/>
    </sheetView>
  </sheetViews>
  <sheetFormatPr defaultRowHeight="12.75" x14ac:dyDescent="0.2"/>
  <cols>
    <col min="1" max="1" width="7.5703125" customWidth="1"/>
    <col min="2" max="2" width="15.140625" style="1" customWidth="1"/>
    <col min="3" max="3" width="10.42578125" style="1" customWidth="1"/>
    <col min="4" max="4" width="9.28515625" style="1" customWidth="1"/>
    <col min="5" max="5" width="17.7109375" style="1" customWidth="1"/>
    <col min="6" max="6" width="23.28515625" style="1" customWidth="1"/>
    <col min="7" max="7" width="8.5703125" style="1" hidden="1" customWidth="1"/>
    <col min="8" max="8" width="10.28515625" style="1" hidden="1" customWidth="1"/>
    <col min="9" max="9" width="5.140625" style="1" customWidth="1"/>
    <col min="10" max="10" width="5.5703125" style="1" customWidth="1"/>
    <col min="11" max="11" width="5" style="1" customWidth="1"/>
    <col min="12" max="12" width="11.7109375" style="1" customWidth="1"/>
    <col min="13" max="13" width="8.42578125" style="1" customWidth="1"/>
    <col min="14" max="14" width="8" style="1" customWidth="1"/>
    <col min="15" max="15" width="10.28515625" style="1" customWidth="1"/>
    <col min="16" max="16" width="20" style="1" customWidth="1"/>
    <col min="17" max="17" width="19.5703125" style="1" bestFit="1" customWidth="1"/>
    <col min="18" max="18" width="17.5703125" style="1" customWidth="1"/>
    <col min="19" max="19" width="19.5703125" style="1" bestFit="1" customWidth="1"/>
    <col min="20" max="20" width="17.28515625" style="1" customWidth="1"/>
    <col min="21" max="21" width="13.42578125" style="1" customWidth="1"/>
    <col min="22" max="22" width="13.85546875" style="1" customWidth="1"/>
    <col min="23" max="23" width="17.5703125" style="1" customWidth="1"/>
    <col min="24" max="24" width="24" style="1" customWidth="1"/>
    <col min="25" max="25" width="22.28515625" style="1" customWidth="1"/>
    <col min="26" max="26" width="26.7109375" style="1" bestFit="1" customWidth="1"/>
  </cols>
  <sheetData>
    <row r="1" spans="1:32" ht="43.5" customHeight="1" x14ac:dyDescent="0.4">
      <c r="A1" s="134" t="s">
        <v>10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6"/>
    </row>
    <row r="2" spans="1:32" ht="37.5" customHeight="1" x14ac:dyDescent="0.2">
      <c r="A2" s="137" t="s">
        <v>107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9"/>
    </row>
    <row r="3" spans="1:32" ht="30" customHeight="1" x14ac:dyDescent="0.2">
      <c r="A3" s="137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9"/>
    </row>
    <row r="4" spans="1:32" ht="36" customHeight="1" thickBot="1" x14ac:dyDescent="0.25">
      <c r="A4" s="137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9"/>
    </row>
    <row r="5" spans="1:32" s="3" customFormat="1" ht="68.25" customHeight="1" thickBot="1" x14ac:dyDescent="0.35">
      <c r="A5" s="140" t="s">
        <v>9</v>
      </c>
      <c r="B5" s="141" t="s">
        <v>1</v>
      </c>
      <c r="C5" s="141" t="s">
        <v>2</v>
      </c>
      <c r="D5" s="141" t="s">
        <v>15</v>
      </c>
      <c r="E5" s="142" t="s">
        <v>5</v>
      </c>
      <c r="F5" s="142"/>
      <c r="G5" s="142"/>
      <c r="H5" s="142"/>
      <c r="I5" s="141" t="s">
        <v>16</v>
      </c>
      <c r="J5" s="141"/>
      <c r="K5" s="141"/>
      <c r="L5" s="141"/>
      <c r="M5" s="141" t="s">
        <v>3</v>
      </c>
      <c r="N5" s="141"/>
      <c r="O5" s="141"/>
      <c r="P5" s="141" t="s">
        <v>17</v>
      </c>
      <c r="Q5" s="141" t="s">
        <v>22</v>
      </c>
      <c r="R5" s="141" t="s">
        <v>75</v>
      </c>
      <c r="S5" s="141" t="s">
        <v>26</v>
      </c>
      <c r="T5" s="141" t="s">
        <v>27</v>
      </c>
      <c r="U5" s="141" t="s">
        <v>31</v>
      </c>
      <c r="V5" s="141" t="s">
        <v>18</v>
      </c>
      <c r="W5" s="141" t="s">
        <v>0</v>
      </c>
      <c r="X5" s="141" t="s">
        <v>8</v>
      </c>
      <c r="Y5" s="141" t="s">
        <v>7</v>
      </c>
      <c r="Z5" s="141" t="s">
        <v>4</v>
      </c>
    </row>
    <row r="6" spans="1:32" s="3" customFormat="1" ht="78" customHeight="1" thickBot="1" x14ac:dyDescent="0.35">
      <c r="A6" s="140"/>
      <c r="B6" s="141"/>
      <c r="C6" s="141"/>
      <c r="D6" s="141"/>
      <c r="E6" s="142"/>
      <c r="F6" s="142"/>
      <c r="G6" s="142"/>
      <c r="H6" s="142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4"/>
      <c r="AB6" s="4"/>
      <c r="AC6" s="4"/>
      <c r="AD6" s="4"/>
      <c r="AE6" s="4"/>
      <c r="AF6" s="4"/>
    </row>
    <row r="7" spans="1:32" s="3" customFormat="1" ht="39" customHeight="1" thickBot="1" x14ac:dyDescent="0.35">
      <c r="A7" s="111"/>
      <c r="B7" s="112"/>
      <c r="C7" s="112"/>
      <c r="D7" s="112"/>
      <c r="E7" s="163"/>
      <c r="F7" s="163"/>
      <c r="G7" s="113"/>
      <c r="H7" s="113"/>
      <c r="I7" s="162"/>
      <c r="J7" s="162"/>
      <c r="K7" s="162"/>
      <c r="L7" s="162"/>
      <c r="M7" s="162"/>
      <c r="N7" s="162"/>
      <c r="O7" s="162"/>
      <c r="P7" s="112"/>
      <c r="Q7" s="112" t="s">
        <v>19</v>
      </c>
      <c r="R7" s="112" t="s">
        <v>20</v>
      </c>
      <c r="S7" s="112" t="s">
        <v>21</v>
      </c>
      <c r="T7" s="112" t="s">
        <v>24</v>
      </c>
      <c r="U7" s="112" t="s">
        <v>23</v>
      </c>
      <c r="V7" s="112"/>
      <c r="W7" s="112" t="s">
        <v>25</v>
      </c>
      <c r="X7" s="112"/>
      <c r="Y7" s="112"/>
      <c r="Z7" s="112"/>
      <c r="AA7" s="4"/>
      <c r="AB7" s="4"/>
      <c r="AC7" s="4"/>
      <c r="AD7" s="4"/>
      <c r="AE7" s="4"/>
      <c r="AF7" s="4"/>
    </row>
    <row r="8" spans="1:32" ht="78" customHeight="1" thickBot="1" x14ac:dyDescent="0.35">
      <c r="A8" s="28">
        <v>1</v>
      </c>
      <c r="B8" s="29"/>
      <c r="C8" s="35"/>
      <c r="D8" s="114"/>
      <c r="E8" s="129"/>
      <c r="F8" s="129"/>
      <c r="G8" s="44"/>
      <c r="H8" s="44"/>
      <c r="I8" s="219"/>
      <c r="J8" s="219"/>
      <c r="K8" s="219"/>
      <c r="L8" s="219"/>
      <c r="M8" s="219"/>
      <c r="N8" s="219"/>
      <c r="O8" s="219"/>
      <c r="P8" s="30"/>
      <c r="Q8" s="36"/>
      <c r="R8" s="49">
        <f>Q8*0.2</f>
        <v>0</v>
      </c>
      <c r="S8" s="31">
        <f t="shared" ref="S8:S31" si="0">Q8+R8</f>
        <v>0</v>
      </c>
      <c r="T8" s="32"/>
      <c r="U8" s="31"/>
      <c r="V8" s="31">
        <f>Q8*0.00948</f>
        <v>0</v>
      </c>
      <c r="W8" s="36">
        <f t="shared" ref="W8:W32" si="1">SUM(S8:V8)</f>
        <v>0</v>
      </c>
      <c r="X8" s="37"/>
      <c r="Y8" s="30"/>
      <c r="Z8" s="29"/>
    </row>
    <row r="9" spans="1:32" ht="75.75" customHeight="1" thickBot="1" x14ac:dyDescent="0.25">
      <c r="A9" s="28">
        <v>2</v>
      </c>
      <c r="B9" s="29"/>
      <c r="C9" s="35"/>
      <c r="D9" s="114"/>
      <c r="E9" s="219"/>
      <c r="F9" s="219"/>
      <c r="G9" s="219"/>
      <c r="H9" s="219"/>
      <c r="I9" s="219"/>
      <c r="J9" s="219"/>
      <c r="K9" s="219"/>
      <c r="L9" s="219"/>
      <c r="M9" s="219"/>
      <c r="N9" s="219"/>
      <c r="O9" s="219"/>
      <c r="P9" s="30"/>
      <c r="Q9" s="36"/>
      <c r="R9" s="49">
        <f t="shared" ref="R9:R31" si="2">Q9*0.2</f>
        <v>0</v>
      </c>
      <c r="S9" s="31">
        <f t="shared" si="0"/>
        <v>0</v>
      </c>
      <c r="T9" s="32"/>
      <c r="U9" s="31"/>
      <c r="V9" s="31">
        <f t="shared" ref="V9:V32" si="3">Q9*0.00948</f>
        <v>0</v>
      </c>
      <c r="W9" s="36">
        <f t="shared" si="1"/>
        <v>0</v>
      </c>
      <c r="X9" s="30"/>
      <c r="Y9" s="30"/>
      <c r="Z9" s="29"/>
    </row>
    <row r="10" spans="1:32" ht="64.5" customHeight="1" thickBot="1" x14ac:dyDescent="0.25">
      <c r="A10" s="28">
        <v>3</v>
      </c>
      <c r="B10" s="29"/>
      <c r="C10" s="35"/>
      <c r="D10" s="114"/>
      <c r="E10" s="219"/>
      <c r="F10" s="219"/>
      <c r="G10" s="219"/>
      <c r="H10" s="219"/>
      <c r="I10" s="219"/>
      <c r="J10" s="219"/>
      <c r="K10" s="219"/>
      <c r="L10" s="219"/>
      <c r="M10" s="219"/>
      <c r="N10" s="219"/>
      <c r="O10" s="219"/>
      <c r="P10" s="30"/>
      <c r="Q10" s="36"/>
      <c r="R10" s="49">
        <f t="shared" si="2"/>
        <v>0</v>
      </c>
      <c r="S10" s="31">
        <f t="shared" si="0"/>
        <v>0</v>
      </c>
      <c r="T10" s="32"/>
      <c r="U10" s="31"/>
      <c r="V10" s="31">
        <f t="shared" si="3"/>
        <v>0</v>
      </c>
      <c r="W10" s="36">
        <f t="shared" si="1"/>
        <v>0</v>
      </c>
      <c r="X10" s="37"/>
      <c r="Y10" s="30"/>
      <c r="Z10" s="29"/>
    </row>
    <row r="11" spans="1:32" ht="48.75" customHeight="1" thickBot="1" x14ac:dyDescent="0.35">
      <c r="A11" s="28">
        <v>4</v>
      </c>
      <c r="B11" s="29"/>
      <c r="C11" s="35"/>
      <c r="D11" s="114"/>
      <c r="E11" s="129"/>
      <c r="F11" s="129"/>
      <c r="G11" s="44"/>
      <c r="H11" s="44"/>
      <c r="I11" s="219"/>
      <c r="J11" s="219"/>
      <c r="K11" s="219"/>
      <c r="L11" s="219"/>
      <c r="M11" s="219"/>
      <c r="N11" s="219"/>
      <c r="O11" s="219"/>
      <c r="P11" s="30"/>
      <c r="Q11" s="36"/>
      <c r="R11" s="49">
        <f t="shared" si="2"/>
        <v>0</v>
      </c>
      <c r="S11" s="31">
        <f t="shared" si="0"/>
        <v>0</v>
      </c>
      <c r="T11" s="32"/>
      <c r="U11" s="31"/>
      <c r="V11" s="31">
        <f t="shared" si="3"/>
        <v>0</v>
      </c>
      <c r="W11" s="36">
        <f t="shared" si="1"/>
        <v>0</v>
      </c>
      <c r="X11" s="30"/>
      <c r="Y11" s="30"/>
      <c r="Z11" s="29"/>
    </row>
    <row r="12" spans="1:32" ht="60.75" customHeight="1" thickBot="1" x14ac:dyDescent="0.35">
      <c r="A12" s="28">
        <v>5</v>
      </c>
      <c r="B12" s="29"/>
      <c r="C12" s="35"/>
      <c r="D12" s="114"/>
      <c r="E12" s="129"/>
      <c r="F12" s="129"/>
      <c r="G12" s="44"/>
      <c r="H12" s="44"/>
      <c r="I12" s="219"/>
      <c r="J12" s="219"/>
      <c r="K12" s="219"/>
      <c r="L12" s="219"/>
      <c r="M12" s="219"/>
      <c r="N12" s="219"/>
      <c r="O12" s="219"/>
      <c r="P12" s="30"/>
      <c r="Q12" s="36"/>
      <c r="R12" s="49">
        <f t="shared" si="2"/>
        <v>0</v>
      </c>
      <c r="S12" s="31">
        <f t="shared" si="0"/>
        <v>0</v>
      </c>
      <c r="T12" s="32"/>
      <c r="U12" s="31"/>
      <c r="V12" s="31">
        <f t="shared" si="3"/>
        <v>0</v>
      </c>
      <c r="W12" s="36">
        <f t="shared" si="1"/>
        <v>0</v>
      </c>
      <c r="X12" s="30"/>
      <c r="Y12" s="30"/>
      <c r="Z12" s="29"/>
    </row>
    <row r="13" spans="1:32" ht="62.25" customHeight="1" thickBot="1" x14ac:dyDescent="0.35">
      <c r="A13" s="28">
        <v>6</v>
      </c>
      <c r="B13" s="29"/>
      <c r="C13" s="35"/>
      <c r="D13" s="114"/>
      <c r="E13" s="129"/>
      <c r="F13" s="129"/>
      <c r="G13" s="44"/>
      <c r="H13" s="44"/>
      <c r="I13" s="219"/>
      <c r="J13" s="219"/>
      <c r="K13" s="219"/>
      <c r="L13" s="219"/>
      <c r="M13" s="219"/>
      <c r="N13" s="219"/>
      <c r="O13" s="219"/>
      <c r="P13" s="30"/>
      <c r="Q13" s="36"/>
      <c r="R13" s="49">
        <f t="shared" si="2"/>
        <v>0</v>
      </c>
      <c r="S13" s="31">
        <f t="shared" si="0"/>
        <v>0</v>
      </c>
      <c r="T13" s="32"/>
      <c r="U13" s="31"/>
      <c r="V13" s="31">
        <f t="shared" si="3"/>
        <v>0</v>
      </c>
      <c r="W13" s="36">
        <f t="shared" si="1"/>
        <v>0</v>
      </c>
      <c r="X13" s="30"/>
      <c r="Y13" s="30"/>
      <c r="Z13" s="29"/>
    </row>
    <row r="14" spans="1:32" ht="62.25" customHeight="1" thickBot="1" x14ac:dyDescent="0.35">
      <c r="A14" s="28">
        <v>7</v>
      </c>
      <c r="B14" s="29"/>
      <c r="C14" s="35"/>
      <c r="D14" s="114"/>
      <c r="E14" s="129"/>
      <c r="F14" s="129"/>
      <c r="G14" s="44"/>
      <c r="H14" s="44"/>
      <c r="I14" s="219"/>
      <c r="J14" s="219"/>
      <c r="K14" s="219"/>
      <c r="L14" s="219"/>
      <c r="M14" s="219"/>
      <c r="N14" s="219"/>
      <c r="O14" s="219"/>
      <c r="P14" s="30"/>
      <c r="Q14" s="36"/>
      <c r="R14" s="49">
        <f t="shared" si="2"/>
        <v>0</v>
      </c>
      <c r="S14" s="31">
        <f t="shared" si="0"/>
        <v>0</v>
      </c>
      <c r="T14" s="32"/>
      <c r="U14" s="31"/>
      <c r="V14" s="31">
        <f t="shared" si="3"/>
        <v>0</v>
      </c>
      <c r="W14" s="36">
        <f t="shared" si="1"/>
        <v>0</v>
      </c>
      <c r="X14" s="30"/>
      <c r="Y14" s="30"/>
      <c r="Z14" s="29"/>
    </row>
    <row r="15" spans="1:32" ht="57" customHeight="1" thickBot="1" x14ac:dyDescent="0.35">
      <c r="A15" s="28">
        <v>8</v>
      </c>
      <c r="B15" s="29"/>
      <c r="C15" s="35"/>
      <c r="D15" s="114"/>
      <c r="E15" s="129"/>
      <c r="F15" s="129"/>
      <c r="G15" s="44"/>
      <c r="H15" s="44"/>
      <c r="I15" s="219"/>
      <c r="J15" s="219"/>
      <c r="K15" s="219"/>
      <c r="L15" s="219"/>
      <c r="M15" s="219"/>
      <c r="N15" s="219"/>
      <c r="O15" s="219"/>
      <c r="P15" s="30"/>
      <c r="Q15" s="36"/>
      <c r="R15" s="49">
        <f t="shared" si="2"/>
        <v>0</v>
      </c>
      <c r="S15" s="31">
        <f t="shared" si="0"/>
        <v>0</v>
      </c>
      <c r="T15" s="32"/>
      <c r="U15" s="31"/>
      <c r="V15" s="31">
        <f t="shared" si="3"/>
        <v>0</v>
      </c>
      <c r="W15" s="36">
        <f t="shared" si="1"/>
        <v>0</v>
      </c>
      <c r="X15" s="30"/>
      <c r="Y15" s="30"/>
      <c r="Z15" s="29"/>
    </row>
    <row r="16" spans="1:32" ht="50.25" customHeight="1" thickBot="1" x14ac:dyDescent="0.35">
      <c r="A16" s="28">
        <v>9</v>
      </c>
      <c r="B16" s="29"/>
      <c r="C16" s="35"/>
      <c r="D16" s="114"/>
      <c r="E16" s="129"/>
      <c r="F16" s="129"/>
      <c r="G16" s="44"/>
      <c r="H16" s="44"/>
      <c r="I16" s="219"/>
      <c r="J16" s="219"/>
      <c r="K16" s="219"/>
      <c r="L16" s="219"/>
      <c r="M16" s="219"/>
      <c r="N16" s="219"/>
      <c r="O16" s="219"/>
      <c r="P16" s="30"/>
      <c r="Q16" s="36"/>
      <c r="R16" s="49">
        <f t="shared" si="2"/>
        <v>0</v>
      </c>
      <c r="S16" s="31">
        <f t="shared" si="0"/>
        <v>0</v>
      </c>
      <c r="T16" s="32"/>
      <c r="U16" s="31"/>
      <c r="V16" s="31">
        <f t="shared" si="3"/>
        <v>0</v>
      </c>
      <c r="W16" s="36">
        <f t="shared" si="1"/>
        <v>0</v>
      </c>
      <c r="X16" s="30"/>
      <c r="Y16" s="30"/>
      <c r="Z16" s="29"/>
    </row>
    <row r="17" spans="1:26" ht="73.5" customHeight="1" thickBot="1" x14ac:dyDescent="0.35">
      <c r="A17" s="28">
        <v>10</v>
      </c>
      <c r="B17" s="29"/>
      <c r="C17" s="35"/>
      <c r="D17" s="114"/>
      <c r="E17" s="129"/>
      <c r="F17" s="129"/>
      <c r="G17" s="44"/>
      <c r="H17" s="44"/>
      <c r="I17" s="219"/>
      <c r="J17" s="219"/>
      <c r="K17" s="219"/>
      <c r="L17" s="219"/>
      <c r="M17" s="219"/>
      <c r="N17" s="219"/>
      <c r="O17" s="219"/>
      <c r="P17" s="30"/>
      <c r="Q17" s="36"/>
      <c r="R17" s="49">
        <f t="shared" si="2"/>
        <v>0</v>
      </c>
      <c r="S17" s="31">
        <f t="shared" si="0"/>
        <v>0</v>
      </c>
      <c r="T17" s="32"/>
      <c r="U17" s="31"/>
      <c r="V17" s="31">
        <f t="shared" si="3"/>
        <v>0</v>
      </c>
      <c r="W17" s="36">
        <f t="shared" si="1"/>
        <v>0</v>
      </c>
      <c r="X17" s="30"/>
      <c r="Y17" s="30"/>
      <c r="Z17" s="29"/>
    </row>
    <row r="18" spans="1:26" ht="66.75" customHeight="1" thickBot="1" x14ac:dyDescent="0.35">
      <c r="A18" s="28">
        <v>11</v>
      </c>
      <c r="B18" s="29"/>
      <c r="C18" s="35"/>
      <c r="D18" s="114"/>
      <c r="E18" s="129"/>
      <c r="F18" s="129"/>
      <c r="G18" s="44"/>
      <c r="H18" s="44"/>
      <c r="I18" s="219"/>
      <c r="J18" s="219"/>
      <c r="K18" s="219"/>
      <c r="L18" s="219"/>
      <c r="M18" s="219"/>
      <c r="N18" s="219"/>
      <c r="O18" s="219"/>
      <c r="P18" s="30"/>
      <c r="Q18" s="36"/>
      <c r="R18" s="49">
        <f t="shared" si="2"/>
        <v>0</v>
      </c>
      <c r="S18" s="31">
        <f t="shared" si="0"/>
        <v>0</v>
      </c>
      <c r="T18" s="32"/>
      <c r="U18" s="31"/>
      <c r="V18" s="31">
        <f t="shared" si="3"/>
        <v>0</v>
      </c>
      <c r="W18" s="36">
        <f t="shared" si="1"/>
        <v>0</v>
      </c>
      <c r="X18" s="30"/>
      <c r="Y18" s="30"/>
      <c r="Z18" s="29"/>
    </row>
    <row r="19" spans="1:26" ht="70.5" customHeight="1" thickBot="1" x14ac:dyDescent="0.35">
      <c r="A19" s="28">
        <v>12</v>
      </c>
      <c r="B19" s="29"/>
      <c r="C19" s="35"/>
      <c r="D19" s="114"/>
      <c r="E19" s="129"/>
      <c r="F19" s="129"/>
      <c r="G19" s="44"/>
      <c r="H19" s="44"/>
      <c r="I19" s="219"/>
      <c r="J19" s="219"/>
      <c r="K19" s="219"/>
      <c r="L19" s="219"/>
      <c r="M19" s="219"/>
      <c r="N19" s="219"/>
      <c r="O19" s="219"/>
      <c r="P19" s="30"/>
      <c r="Q19" s="36"/>
      <c r="R19" s="49">
        <f t="shared" si="2"/>
        <v>0</v>
      </c>
      <c r="S19" s="31">
        <f t="shared" si="0"/>
        <v>0</v>
      </c>
      <c r="T19" s="32"/>
      <c r="U19" s="31"/>
      <c r="V19" s="31">
        <f t="shared" si="3"/>
        <v>0</v>
      </c>
      <c r="W19" s="36">
        <f t="shared" si="1"/>
        <v>0</v>
      </c>
      <c r="X19" s="30"/>
      <c r="Y19" s="30"/>
      <c r="Z19" s="29"/>
    </row>
    <row r="20" spans="1:26" ht="57" customHeight="1" thickBot="1" x14ac:dyDescent="0.35">
      <c r="A20" s="28">
        <v>13</v>
      </c>
      <c r="B20" s="29"/>
      <c r="C20" s="35"/>
      <c r="D20" s="114"/>
      <c r="E20" s="129"/>
      <c r="F20" s="129"/>
      <c r="G20" s="44"/>
      <c r="H20" s="44"/>
      <c r="I20" s="219"/>
      <c r="J20" s="219"/>
      <c r="K20" s="219"/>
      <c r="L20" s="219"/>
      <c r="M20" s="219"/>
      <c r="N20" s="219"/>
      <c r="O20" s="219"/>
      <c r="P20" s="30"/>
      <c r="Q20" s="36"/>
      <c r="R20" s="49">
        <f t="shared" si="2"/>
        <v>0</v>
      </c>
      <c r="S20" s="31">
        <f t="shared" si="0"/>
        <v>0</v>
      </c>
      <c r="T20" s="32"/>
      <c r="U20" s="31"/>
      <c r="V20" s="31">
        <f t="shared" si="3"/>
        <v>0</v>
      </c>
      <c r="W20" s="36">
        <f t="shared" si="1"/>
        <v>0</v>
      </c>
      <c r="X20" s="30"/>
      <c r="Y20" s="30"/>
      <c r="Z20" s="29"/>
    </row>
    <row r="21" spans="1:26" ht="58.5" customHeight="1" thickBot="1" x14ac:dyDescent="0.35">
      <c r="A21" s="28">
        <v>14</v>
      </c>
      <c r="B21" s="29"/>
      <c r="C21" s="35"/>
      <c r="D21" s="114"/>
      <c r="E21" s="129"/>
      <c r="F21" s="129"/>
      <c r="G21" s="44"/>
      <c r="H21" s="44"/>
      <c r="I21" s="219"/>
      <c r="J21" s="219"/>
      <c r="K21" s="219"/>
      <c r="L21" s="219"/>
      <c r="M21" s="219"/>
      <c r="N21" s="219"/>
      <c r="O21" s="219"/>
      <c r="P21" s="30"/>
      <c r="Q21" s="36"/>
      <c r="R21" s="49">
        <f t="shared" si="2"/>
        <v>0</v>
      </c>
      <c r="S21" s="31">
        <f t="shared" si="0"/>
        <v>0</v>
      </c>
      <c r="T21" s="32"/>
      <c r="U21" s="31"/>
      <c r="V21" s="31">
        <f t="shared" si="3"/>
        <v>0</v>
      </c>
      <c r="W21" s="36">
        <f t="shared" si="1"/>
        <v>0</v>
      </c>
      <c r="X21" s="30"/>
      <c r="Y21" s="30"/>
      <c r="Z21" s="29"/>
    </row>
    <row r="22" spans="1:26" ht="66.75" customHeight="1" thickBot="1" x14ac:dyDescent="0.35">
      <c r="A22" s="28">
        <v>15</v>
      </c>
      <c r="B22" s="29"/>
      <c r="C22" s="35"/>
      <c r="D22" s="114"/>
      <c r="E22" s="129"/>
      <c r="F22" s="129"/>
      <c r="G22" s="44"/>
      <c r="H22" s="44"/>
      <c r="I22" s="219"/>
      <c r="J22" s="219"/>
      <c r="K22" s="219"/>
      <c r="L22" s="219"/>
      <c r="M22" s="219"/>
      <c r="N22" s="219"/>
      <c r="O22" s="219"/>
      <c r="P22" s="30"/>
      <c r="Q22" s="36"/>
      <c r="R22" s="49">
        <f t="shared" si="2"/>
        <v>0</v>
      </c>
      <c r="S22" s="31">
        <f t="shared" si="0"/>
        <v>0</v>
      </c>
      <c r="T22" s="32"/>
      <c r="U22" s="31"/>
      <c r="V22" s="31">
        <f t="shared" si="3"/>
        <v>0</v>
      </c>
      <c r="W22" s="36">
        <f t="shared" si="1"/>
        <v>0</v>
      </c>
      <c r="X22" s="30"/>
      <c r="Y22" s="30"/>
      <c r="Z22" s="29"/>
    </row>
    <row r="23" spans="1:26" ht="60" customHeight="1" thickBot="1" x14ac:dyDescent="0.35">
      <c r="A23" s="28">
        <v>16</v>
      </c>
      <c r="B23" s="29"/>
      <c r="C23" s="35"/>
      <c r="D23" s="114"/>
      <c r="E23" s="129"/>
      <c r="F23" s="129"/>
      <c r="G23" s="44"/>
      <c r="H23" s="44"/>
      <c r="I23" s="219"/>
      <c r="J23" s="219"/>
      <c r="K23" s="219"/>
      <c r="L23" s="219"/>
      <c r="M23" s="219"/>
      <c r="N23" s="219"/>
      <c r="O23" s="219"/>
      <c r="P23" s="30"/>
      <c r="Q23" s="36"/>
      <c r="R23" s="49">
        <f t="shared" si="2"/>
        <v>0</v>
      </c>
      <c r="S23" s="31">
        <f t="shared" si="0"/>
        <v>0</v>
      </c>
      <c r="T23" s="32"/>
      <c r="U23" s="31"/>
      <c r="V23" s="31">
        <f t="shared" si="3"/>
        <v>0</v>
      </c>
      <c r="W23" s="36">
        <f t="shared" si="1"/>
        <v>0</v>
      </c>
      <c r="X23" s="30"/>
      <c r="Y23" s="30"/>
      <c r="Z23" s="29"/>
    </row>
    <row r="24" spans="1:26" ht="61.5" customHeight="1" thickBot="1" x14ac:dyDescent="0.35">
      <c r="A24" s="28">
        <v>17</v>
      </c>
      <c r="B24" s="29"/>
      <c r="C24" s="35"/>
      <c r="D24" s="114"/>
      <c r="E24" s="129"/>
      <c r="F24" s="129"/>
      <c r="G24" s="44"/>
      <c r="H24" s="44"/>
      <c r="I24" s="219"/>
      <c r="J24" s="219"/>
      <c r="K24" s="219"/>
      <c r="L24" s="219"/>
      <c r="M24" s="219"/>
      <c r="N24" s="219"/>
      <c r="O24" s="219"/>
      <c r="P24" s="30"/>
      <c r="Q24" s="36"/>
      <c r="R24" s="49">
        <f t="shared" si="2"/>
        <v>0</v>
      </c>
      <c r="S24" s="31">
        <f t="shared" si="0"/>
        <v>0</v>
      </c>
      <c r="T24" s="32"/>
      <c r="U24" s="31"/>
      <c r="V24" s="31">
        <f t="shared" si="3"/>
        <v>0</v>
      </c>
      <c r="W24" s="36">
        <f t="shared" si="1"/>
        <v>0</v>
      </c>
      <c r="X24" s="30"/>
      <c r="Y24" s="30"/>
      <c r="Z24" s="29"/>
    </row>
    <row r="25" spans="1:26" ht="62.25" customHeight="1" thickBot="1" x14ac:dyDescent="0.35">
      <c r="A25" s="28">
        <v>18</v>
      </c>
      <c r="B25" s="29"/>
      <c r="C25" s="35"/>
      <c r="D25" s="114"/>
      <c r="E25" s="129"/>
      <c r="F25" s="129"/>
      <c r="G25" s="44"/>
      <c r="H25" s="44"/>
      <c r="I25" s="219"/>
      <c r="J25" s="219"/>
      <c r="K25" s="219"/>
      <c r="L25" s="219"/>
      <c r="M25" s="219"/>
      <c r="N25" s="219"/>
      <c r="O25" s="219"/>
      <c r="P25" s="30"/>
      <c r="Q25" s="36"/>
      <c r="R25" s="49">
        <f t="shared" si="2"/>
        <v>0</v>
      </c>
      <c r="S25" s="31">
        <f t="shared" si="0"/>
        <v>0</v>
      </c>
      <c r="T25" s="32"/>
      <c r="U25" s="31"/>
      <c r="V25" s="31">
        <f t="shared" si="3"/>
        <v>0</v>
      </c>
      <c r="W25" s="36">
        <f t="shared" si="1"/>
        <v>0</v>
      </c>
      <c r="X25" s="30"/>
      <c r="Y25" s="30"/>
      <c r="Z25" s="29"/>
    </row>
    <row r="26" spans="1:26" ht="72" customHeight="1" thickBot="1" x14ac:dyDescent="0.35">
      <c r="A26" s="28">
        <v>19</v>
      </c>
      <c r="B26" s="29"/>
      <c r="C26" s="35"/>
      <c r="D26" s="114"/>
      <c r="E26" s="129"/>
      <c r="F26" s="129"/>
      <c r="G26" s="44"/>
      <c r="H26" s="44"/>
      <c r="I26" s="219"/>
      <c r="J26" s="219"/>
      <c r="K26" s="219"/>
      <c r="L26" s="219"/>
      <c r="M26" s="219"/>
      <c r="N26" s="219"/>
      <c r="O26" s="219"/>
      <c r="P26" s="30"/>
      <c r="Q26" s="36"/>
      <c r="R26" s="49">
        <f t="shared" si="2"/>
        <v>0</v>
      </c>
      <c r="S26" s="31">
        <f t="shared" si="0"/>
        <v>0</v>
      </c>
      <c r="T26" s="32"/>
      <c r="U26" s="31"/>
      <c r="V26" s="31">
        <f t="shared" si="3"/>
        <v>0</v>
      </c>
      <c r="W26" s="36">
        <f t="shared" si="1"/>
        <v>0</v>
      </c>
      <c r="X26" s="30"/>
      <c r="Y26" s="30"/>
      <c r="Z26" s="29"/>
    </row>
    <row r="27" spans="1:26" ht="63" customHeight="1" thickBot="1" x14ac:dyDescent="0.35">
      <c r="A27" s="28">
        <v>20</v>
      </c>
      <c r="B27" s="29"/>
      <c r="C27" s="35"/>
      <c r="D27" s="114"/>
      <c r="E27" s="129"/>
      <c r="F27" s="129"/>
      <c r="G27" s="44"/>
      <c r="H27" s="44"/>
      <c r="I27" s="219"/>
      <c r="J27" s="219"/>
      <c r="K27" s="219"/>
      <c r="L27" s="219"/>
      <c r="M27" s="219"/>
      <c r="N27" s="219"/>
      <c r="O27" s="219"/>
      <c r="P27" s="30"/>
      <c r="Q27" s="36"/>
      <c r="R27" s="49">
        <f t="shared" si="2"/>
        <v>0</v>
      </c>
      <c r="S27" s="31">
        <f t="shared" si="0"/>
        <v>0</v>
      </c>
      <c r="T27" s="32"/>
      <c r="U27" s="31"/>
      <c r="V27" s="31">
        <f t="shared" si="3"/>
        <v>0</v>
      </c>
      <c r="W27" s="36">
        <f t="shared" si="1"/>
        <v>0</v>
      </c>
      <c r="X27" s="30"/>
      <c r="Y27" s="30"/>
      <c r="Z27" s="29"/>
    </row>
    <row r="28" spans="1:26" ht="63.75" customHeight="1" thickBot="1" x14ac:dyDescent="0.35">
      <c r="A28" s="28">
        <v>21</v>
      </c>
      <c r="B28" s="29"/>
      <c r="C28" s="35"/>
      <c r="D28" s="114"/>
      <c r="E28" s="129"/>
      <c r="F28" s="129"/>
      <c r="G28" s="44"/>
      <c r="H28" s="44"/>
      <c r="I28" s="219"/>
      <c r="J28" s="219"/>
      <c r="K28" s="219"/>
      <c r="L28" s="219"/>
      <c r="M28" s="219"/>
      <c r="N28" s="219"/>
      <c r="O28" s="219"/>
      <c r="P28" s="30"/>
      <c r="Q28" s="36"/>
      <c r="R28" s="49">
        <f t="shared" si="2"/>
        <v>0</v>
      </c>
      <c r="S28" s="31">
        <f t="shared" si="0"/>
        <v>0</v>
      </c>
      <c r="T28" s="32"/>
      <c r="U28" s="31"/>
      <c r="V28" s="31">
        <f t="shared" si="3"/>
        <v>0</v>
      </c>
      <c r="W28" s="36">
        <f t="shared" si="1"/>
        <v>0</v>
      </c>
      <c r="X28" s="30"/>
      <c r="Y28" s="30"/>
      <c r="Z28" s="29"/>
    </row>
    <row r="29" spans="1:26" ht="67.5" hidden="1" customHeight="1" thickBot="1" x14ac:dyDescent="0.35">
      <c r="A29" s="28">
        <v>22</v>
      </c>
      <c r="B29" s="29" t="s">
        <v>111</v>
      </c>
      <c r="C29" s="35" t="s">
        <v>110</v>
      </c>
      <c r="D29" s="114" t="s">
        <v>33</v>
      </c>
      <c r="E29" s="129"/>
      <c r="F29" s="129"/>
      <c r="G29" s="44"/>
      <c r="H29" s="44"/>
      <c r="I29" s="219"/>
      <c r="J29" s="219"/>
      <c r="K29" s="219"/>
      <c r="L29" s="219"/>
      <c r="M29" s="219"/>
      <c r="N29" s="219"/>
      <c r="O29" s="219"/>
      <c r="P29" s="30"/>
      <c r="Q29" s="36"/>
      <c r="R29" s="49">
        <f t="shared" si="2"/>
        <v>0</v>
      </c>
      <c r="S29" s="31">
        <f t="shared" si="0"/>
        <v>0</v>
      </c>
      <c r="T29" s="32"/>
      <c r="U29" s="31"/>
      <c r="V29" s="31">
        <f t="shared" si="3"/>
        <v>0</v>
      </c>
      <c r="W29" s="36">
        <f t="shared" si="1"/>
        <v>0</v>
      </c>
      <c r="X29" s="30"/>
      <c r="Y29" s="30"/>
      <c r="Z29" s="29"/>
    </row>
    <row r="30" spans="1:26" ht="26.25" hidden="1" customHeight="1" thickBot="1" x14ac:dyDescent="0.35">
      <c r="A30" s="28">
        <v>24</v>
      </c>
      <c r="B30" s="29"/>
      <c r="C30" s="35"/>
      <c r="D30" s="114"/>
      <c r="E30" s="129"/>
      <c r="F30" s="129"/>
      <c r="G30" s="44"/>
      <c r="H30" s="44"/>
      <c r="I30" s="219"/>
      <c r="J30" s="219"/>
      <c r="K30" s="219"/>
      <c r="L30" s="219"/>
      <c r="M30" s="219"/>
      <c r="N30" s="219"/>
      <c r="O30" s="219"/>
      <c r="P30" s="30"/>
      <c r="Q30" s="36"/>
      <c r="R30" s="49">
        <f t="shared" si="2"/>
        <v>0</v>
      </c>
      <c r="S30" s="31">
        <f t="shared" si="0"/>
        <v>0</v>
      </c>
      <c r="T30" s="32"/>
      <c r="U30" s="31"/>
      <c r="V30" s="31">
        <f t="shared" si="3"/>
        <v>0</v>
      </c>
      <c r="W30" s="36">
        <f t="shared" si="1"/>
        <v>0</v>
      </c>
      <c r="X30" s="30"/>
      <c r="Y30" s="30"/>
      <c r="Z30" s="29"/>
    </row>
    <row r="31" spans="1:26" ht="26.25" hidden="1" customHeight="1" thickBot="1" x14ac:dyDescent="0.35">
      <c r="A31" s="28">
        <v>25</v>
      </c>
      <c r="B31" s="29"/>
      <c r="C31" s="35"/>
      <c r="D31" s="114"/>
      <c r="E31" s="129"/>
      <c r="F31" s="129"/>
      <c r="G31" s="44"/>
      <c r="H31" s="44"/>
      <c r="I31" s="219"/>
      <c r="J31" s="219"/>
      <c r="K31" s="219"/>
      <c r="L31" s="219"/>
      <c r="M31" s="219"/>
      <c r="N31" s="219"/>
      <c r="O31" s="219"/>
      <c r="P31" s="30"/>
      <c r="Q31" s="36"/>
      <c r="R31" s="49">
        <f t="shared" si="2"/>
        <v>0</v>
      </c>
      <c r="S31" s="31">
        <f t="shared" si="0"/>
        <v>0</v>
      </c>
      <c r="T31" s="32"/>
      <c r="U31" s="31"/>
      <c r="V31" s="31">
        <f t="shared" si="3"/>
        <v>0</v>
      </c>
      <c r="W31" s="36">
        <f t="shared" si="1"/>
        <v>0</v>
      </c>
      <c r="X31" s="30"/>
      <c r="Y31" s="30"/>
      <c r="Z31" s="29"/>
    </row>
    <row r="32" spans="1:26" ht="66" customHeight="1" thickBot="1" x14ac:dyDescent="0.25">
      <c r="A32" s="223" t="s">
        <v>6</v>
      </c>
      <c r="B32" s="223"/>
      <c r="C32" s="223"/>
      <c r="D32" s="223"/>
      <c r="E32" s="223"/>
      <c r="F32" s="223"/>
      <c r="G32" s="223"/>
      <c r="H32" s="223"/>
      <c r="I32" s="223"/>
      <c r="J32" s="223"/>
      <c r="K32" s="223"/>
      <c r="L32" s="223"/>
      <c r="M32" s="223"/>
      <c r="N32" s="223"/>
      <c r="O32" s="223"/>
      <c r="P32" s="223"/>
      <c r="Q32" s="36">
        <f>SUM(Q8:Q31)</f>
        <v>0</v>
      </c>
      <c r="R32" s="31">
        <f>SUM(R8:R31)</f>
        <v>0</v>
      </c>
      <c r="S32" s="31">
        <f>SUM(S8:S31)</f>
        <v>0</v>
      </c>
      <c r="T32" s="33" t="s">
        <v>30</v>
      </c>
      <c r="U32" s="31"/>
      <c r="V32" s="31">
        <f t="shared" si="3"/>
        <v>0</v>
      </c>
      <c r="W32" s="36">
        <f t="shared" si="1"/>
        <v>0</v>
      </c>
      <c r="X32" s="32"/>
      <c r="Y32" s="30"/>
      <c r="Z32" s="34"/>
    </row>
    <row r="33" spans="1:26" ht="48" customHeight="1" thickBot="1" x14ac:dyDescent="0.4">
      <c r="A33" s="152" t="s">
        <v>28</v>
      </c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3" t="s">
        <v>11</v>
      </c>
      <c r="U33" s="153"/>
      <c r="V33" s="153"/>
      <c r="W33" s="156" t="s">
        <v>73</v>
      </c>
      <c r="X33" s="156"/>
      <c r="Y33" s="156"/>
      <c r="Z33" s="156"/>
    </row>
    <row r="34" spans="1:26" ht="48" customHeight="1" thickBot="1" x14ac:dyDescent="0.4">
      <c r="A34" s="152" t="s">
        <v>29</v>
      </c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3" t="s">
        <v>12</v>
      </c>
      <c r="U34" s="153"/>
      <c r="V34" s="153"/>
      <c r="W34" s="156" t="s">
        <v>104</v>
      </c>
      <c r="X34" s="156"/>
      <c r="Y34" s="156"/>
      <c r="Z34" s="156"/>
    </row>
    <row r="35" spans="1:26" ht="39" customHeight="1" thickBot="1" x14ac:dyDescent="0.4">
      <c r="A35" s="157"/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3" t="s">
        <v>13</v>
      </c>
      <c r="U35" s="153"/>
      <c r="V35" s="153"/>
      <c r="W35" s="156" t="s">
        <v>32</v>
      </c>
      <c r="X35" s="156"/>
      <c r="Y35" s="156"/>
      <c r="Z35" s="156"/>
    </row>
    <row r="36" spans="1:26" ht="57.75" customHeight="1" thickBot="1" x14ac:dyDescent="0.45">
      <c r="A36" s="154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3" t="s">
        <v>14</v>
      </c>
      <c r="U36" s="153"/>
      <c r="V36" s="153"/>
      <c r="W36" s="155"/>
      <c r="X36" s="155"/>
      <c r="Y36" s="155"/>
      <c r="Z36" s="155"/>
    </row>
    <row r="37" spans="1:26" ht="38.25" customHeight="1" x14ac:dyDescent="0.2">
      <c r="C37" s="2"/>
    </row>
    <row r="38" spans="1:26" ht="38.25" customHeight="1" x14ac:dyDescent="0.2"/>
    <row r="39" spans="1:26" ht="12.75" customHeight="1" x14ac:dyDescent="0.2"/>
    <row r="40" spans="1:26" ht="12.75" customHeight="1" x14ac:dyDescent="0.2"/>
    <row r="41" spans="1:26" ht="12.75" customHeight="1" x14ac:dyDescent="0.2"/>
    <row r="42" spans="1:26" ht="12.75" customHeight="1" x14ac:dyDescent="0.2"/>
    <row r="43" spans="1:26" ht="12.75" customHeight="1" x14ac:dyDescent="0.2"/>
    <row r="44" spans="1:26" ht="12.75" customHeight="1" x14ac:dyDescent="0.2"/>
  </sheetData>
  <autoFilter ref="A5:Y21" xr:uid="{00000000-0009-0000-0000-000006000000}"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1" showButton="0"/>
    <filterColumn colId="12" showButton="0"/>
  </autoFilter>
  <mergeCells count="108">
    <mergeCell ref="A36:S36"/>
    <mergeCell ref="T36:V36"/>
    <mergeCell ref="W36:Z36"/>
    <mergeCell ref="A32:P32"/>
    <mergeCell ref="A33:S33"/>
    <mergeCell ref="T33:V33"/>
    <mergeCell ref="W33:Z33"/>
    <mergeCell ref="A34:S34"/>
    <mergeCell ref="T34:V34"/>
    <mergeCell ref="W34:Z34"/>
    <mergeCell ref="A35:S35"/>
    <mergeCell ref="T35:V35"/>
    <mergeCell ref="W35:Z35"/>
    <mergeCell ref="I15:L15"/>
    <mergeCell ref="M15:O15"/>
    <mergeCell ref="I16:L16"/>
    <mergeCell ref="A1:Z1"/>
    <mergeCell ref="A2:Z4"/>
    <mergeCell ref="E5:H6"/>
    <mergeCell ref="I5:L6"/>
    <mergeCell ref="M5:O6"/>
    <mergeCell ref="Z5:Z6"/>
    <mergeCell ref="S5:S6"/>
    <mergeCell ref="T5:T6"/>
    <mergeCell ref="U5:U6"/>
    <mergeCell ref="A5:A6"/>
    <mergeCell ref="B5:B6"/>
    <mergeCell ref="C5:C6"/>
    <mergeCell ref="D5:D6"/>
    <mergeCell ref="V5:V6"/>
    <mergeCell ref="W5:W6"/>
    <mergeCell ref="X5:X6"/>
    <mergeCell ref="Y5:Y6"/>
    <mergeCell ref="R5:R6"/>
    <mergeCell ref="P5:P6"/>
    <mergeCell ref="Q5:Q6"/>
    <mergeCell ref="I27:L27"/>
    <mergeCell ref="I18:L18"/>
    <mergeCell ref="I19:L19"/>
    <mergeCell ref="E8:F8"/>
    <mergeCell ref="E7:F7"/>
    <mergeCell ref="I7:L7"/>
    <mergeCell ref="M7:O7"/>
    <mergeCell ref="I8:L8"/>
    <mergeCell ref="M8:O8"/>
    <mergeCell ref="E24:F24"/>
    <mergeCell ref="E25:F25"/>
    <mergeCell ref="E26:F26"/>
    <mergeCell ref="E9:H9"/>
    <mergeCell ref="I9:L9"/>
    <mergeCell ref="M9:O9"/>
    <mergeCell ref="E10:H10"/>
    <mergeCell ref="I10:L10"/>
    <mergeCell ref="M10:O10"/>
    <mergeCell ref="E15:F15"/>
    <mergeCell ref="E16:F16"/>
    <mergeCell ref="E17:F17"/>
    <mergeCell ref="I20:L20"/>
    <mergeCell ref="I21:L21"/>
    <mergeCell ref="I22:L22"/>
    <mergeCell ref="M28:O28"/>
    <mergeCell ref="M29:O29"/>
    <mergeCell ref="I23:L23"/>
    <mergeCell ref="E27:F27"/>
    <mergeCell ref="E28:F28"/>
    <mergeCell ref="E29:F29"/>
    <mergeCell ref="M11:O11"/>
    <mergeCell ref="I12:L12"/>
    <mergeCell ref="M12:O12"/>
    <mergeCell ref="E14:F14"/>
    <mergeCell ref="E11:F11"/>
    <mergeCell ref="E12:F12"/>
    <mergeCell ref="E13:F13"/>
    <mergeCell ref="I11:L11"/>
    <mergeCell ref="I13:L13"/>
    <mergeCell ref="M13:O13"/>
    <mergeCell ref="I14:L14"/>
    <mergeCell ref="M14:O14"/>
    <mergeCell ref="E18:F18"/>
    <mergeCell ref="E19:F19"/>
    <mergeCell ref="E20:F20"/>
    <mergeCell ref="E21:F21"/>
    <mergeCell ref="E22:F22"/>
    <mergeCell ref="E23:F23"/>
    <mergeCell ref="I24:L24"/>
    <mergeCell ref="I25:L25"/>
    <mergeCell ref="I26:L26"/>
    <mergeCell ref="M16:O16"/>
    <mergeCell ref="I17:L17"/>
    <mergeCell ref="M17:O17"/>
    <mergeCell ref="E31:F31"/>
    <mergeCell ref="I30:L30"/>
    <mergeCell ref="I31:L31"/>
    <mergeCell ref="M31:O31"/>
    <mergeCell ref="M30:O30"/>
    <mergeCell ref="E30:F30"/>
    <mergeCell ref="I28:L28"/>
    <mergeCell ref="I29:L29"/>
    <mergeCell ref="M18:O18"/>
    <mergeCell ref="M19:O19"/>
    <mergeCell ref="M20:O20"/>
    <mergeCell ref="M21:O21"/>
    <mergeCell ref="M22:O22"/>
    <mergeCell ref="M23:O23"/>
    <mergeCell ref="M24:O24"/>
    <mergeCell ref="M25:O25"/>
    <mergeCell ref="M26:O26"/>
    <mergeCell ref="M27:O27"/>
  </mergeCells>
  <pageMargins left="0.9055118110236221" right="0.15748031496062992" top="0.43307086614173229" bottom="0" header="0.15748031496062992" footer="0.15748031496062992"/>
  <pageSetup paperSize="9" scale="37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ayfa8"/>
  <dimension ref="A1:AF45"/>
  <sheetViews>
    <sheetView topLeftCell="A5" zoomScale="56" zoomScaleNormal="56" workbookViewId="0">
      <selection activeCell="AJ12" sqref="AJ12"/>
    </sheetView>
  </sheetViews>
  <sheetFormatPr defaultRowHeight="12.75" x14ac:dyDescent="0.2"/>
  <cols>
    <col min="1" max="1" width="7.5703125" customWidth="1"/>
    <col min="2" max="2" width="15.140625" style="1" customWidth="1"/>
    <col min="3" max="3" width="10.42578125" style="1" customWidth="1"/>
    <col min="4" max="4" width="9.28515625" style="1" customWidth="1"/>
    <col min="5" max="5" width="17.7109375" style="1" customWidth="1"/>
    <col min="6" max="6" width="24.85546875" style="1" customWidth="1"/>
    <col min="7" max="7" width="8.5703125" style="1" hidden="1" customWidth="1"/>
    <col min="8" max="8" width="10.28515625" style="1" hidden="1" customWidth="1"/>
    <col min="9" max="9" width="5.140625" style="1" customWidth="1"/>
    <col min="10" max="10" width="5.5703125" style="1" customWidth="1"/>
    <col min="11" max="11" width="5" style="1" customWidth="1"/>
    <col min="12" max="12" width="11.7109375" style="1" customWidth="1"/>
    <col min="13" max="13" width="8.42578125" style="1" customWidth="1"/>
    <col min="14" max="14" width="8" style="1" customWidth="1"/>
    <col min="15" max="15" width="10.28515625" style="1" customWidth="1"/>
    <col min="16" max="16" width="20" style="1" customWidth="1"/>
    <col min="17" max="17" width="19.5703125" style="1" bestFit="1" customWidth="1"/>
    <col min="18" max="18" width="16" style="1" bestFit="1" customWidth="1"/>
    <col min="19" max="19" width="19.5703125" style="1" bestFit="1" customWidth="1"/>
    <col min="20" max="20" width="17.28515625" style="1" customWidth="1"/>
    <col min="21" max="21" width="13.42578125" style="1" customWidth="1"/>
    <col min="22" max="22" width="13.85546875" style="1" customWidth="1"/>
    <col min="23" max="23" width="17.5703125" style="1" customWidth="1"/>
    <col min="24" max="24" width="24" style="1" customWidth="1"/>
    <col min="25" max="25" width="22.28515625" style="1" customWidth="1"/>
    <col min="26" max="26" width="26.7109375" style="1" bestFit="1" customWidth="1"/>
  </cols>
  <sheetData>
    <row r="1" spans="1:32" ht="43.5" customHeight="1" x14ac:dyDescent="0.4">
      <c r="A1" s="134" t="s">
        <v>10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6"/>
    </row>
    <row r="2" spans="1:32" ht="37.5" customHeight="1" x14ac:dyDescent="0.2">
      <c r="A2" s="137" t="s">
        <v>147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9"/>
    </row>
    <row r="3" spans="1:32" ht="30" customHeight="1" x14ac:dyDescent="0.2">
      <c r="A3" s="137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9"/>
    </row>
    <row r="4" spans="1:32" ht="36" customHeight="1" thickBot="1" x14ac:dyDescent="0.25">
      <c r="A4" s="137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9"/>
    </row>
    <row r="5" spans="1:32" s="3" customFormat="1" ht="68.25" customHeight="1" x14ac:dyDescent="0.3">
      <c r="A5" s="217" t="s">
        <v>9</v>
      </c>
      <c r="B5" s="200" t="s">
        <v>1</v>
      </c>
      <c r="C5" s="200" t="s">
        <v>2</v>
      </c>
      <c r="D5" s="200" t="s">
        <v>15</v>
      </c>
      <c r="E5" s="202" t="s">
        <v>5</v>
      </c>
      <c r="F5" s="203"/>
      <c r="G5" s="203"/>
      <c r="H5" s="204"/>
      <c r="I5" s="208" t="s">
        <v>16</v>
      </c>
      <c r="J5" s="209"/>
      <c r="K5" s="209"/>
      <c r="L5" s="210"/>
      <c r="M5" s="208" t="s">
        <v>3</v>
      </c>
      <c r="N5" s="209"/>
      <c r="O5" s="210"/>
      <c r="P5" s="200" t="s">
        <v>17</v>
      </c>
      <c r="Q5" s="200" t="s">
        <v>22</v>
      </c>
      <c r="R5" s="200" t="s">
        <v>75</v>
      </c>
      <c r="S5" s="200" t="s">
        <v>26</v>
      </c>
      <c r="T5" s="200" t="s">
        <v>27</v>
      </c>
      <c r="U5" s="200" t="s">
        <v>31</v>
      </c>
      <c r="V5" s="200" t="s">
        <v>18</v>
      </c>
      <c r="W5" s="200" t="s">
        <v>0</v>
      </c>
      <c r="X5" s="200" t="s">
        <v>8</v>
      </c>
      <c r="Y5" s="200" t="s">
        <v>7</v>
      </c>
      <c r="Z5" s="200" t="s">
        <v>4</v>
      </c>
    </row>
    <row r="6" spans="1:32" s="3" customFormat="1" ht="114" customHeight="1" thickBot="1" x14ac:dyDescent="0.35">
      <c r="A6" s="218"/>
      <c r="B6" s="201"/>
      <c r="C6" s="201"/>
      <c r="D6" s="201"/>
      <c r="E6" s="205"/>
      <c r="F6" s="206"/>
      <c r="G6" s="206"/>
      <c r="H6" s="207"/>
      <c r="I6" s="211"/>
      <c r="J6" s="212"/>
      <c r="K6" s="212"/>
      <c r="L6" s="213"/>
      <c r="M6" s="211"/>
      <c r="N6" s="212"/>
      <c r="O6" s="213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1"/>
      <c r="AA6" s="4"/>
      <c r="AB6" s="4"/>
      <c r="AC6" s="4"/>
      <c r="AD6" s="4"/>
      <c r="AE6" s="4"/>
      <c r="AF6" s="4"/>
    </row>
    <row r="7" spans="1:32" s="3" customFormat="1" ht="39" customHeight="1" thickBot="1" x14ac:dyDescent="0.35">
      <c r="A7" s="86"/>
      <c r="B7" s="92"/>
      <c r="C7" s="92"/>
      <c r="D7" s="92"/>
      <c r="E7" s="147"/>
      <c r="F7" s="148"/>
      <c r="G7" s="93"/>
      <c r="H7" s="93"/>
      <c r="I7" s="144"/>
      <c r="J7" s="145"/>
      <c r="K7" s="145"/>
      <c r="L7" s="146"/>
      <c r="M7" s="144"/>
      <c r="N7" s="145"/>
      <c r="O7" s="146"/>
      <c r="P7" s="92"/>
      <c r="Q7" s="92" t="s">
        <v>19</v>
      </c>
      <c r="R7" s="92" t="s">
        <v>20</v>
      </c>
      <c r="S7" s="92" t="s">
        <v>21</v>
      </c>
      <c r="T7" s="92" t="s">
        <v>24</v>
      </c>
      <c r="U7" s="92" t="s">
        <v>23</v>
      </c>
      <c r="V7" s="92"/>
      <c r="W7" s="92" t="s">
        <v>25</v>
      </c>
      <c r="X7" s="92"/>
      <c r="Y7" s="92"/>
      <c r="Z7" s="92"/>
      <c r="AA7" s="4"/>
      <c r="AB7" s="4"/>
      <c r="AC7" s="4"/>
      <c r="AD7" s="4"/>
      <c r="AE7" s="4"/>
      <c r="AF7" s="4"/>
    </row>
    <row r="8" spans="1:32" ht="59.25" customHeight="1" thickBot="1" x14ac:dyDescent="0.35">
      <c r="A8" s="28">
        <v>1</v>
      </c>
      <c r="B8" s="29" t="s">
        <v>111</v>
      </c>
      <c r="C8" s="35" t="s">
        <v>110</v>
      </c>
      <c r="D8" s="99" t="s">
        <v>33</v>
      </c>
      <c r="E8" s="198" t="s">
        <v>132</v>
      </c>
      <c r="F8" s="199"/>
      <c r="G8" s="44"/>
      <c r="H8" s="44"/>
      <c r="I8" s="214" t="s">
        <v>132</v>
      </c>
      <c r="J8" s="215"/>
      <c r="K8" s="215"/>
      <c r="L8" s="216"/>
      <c r="M8" s="214" t="s">
        <v>133</v>
      </c>
      <c r="N8" s="215"/>
      <c r="O8" s="216"/>
      <c r="P8" s="30" t="s">
        <v>114</v>
      </c>
      <c r="Q8" s="36">
        <v>11776.96</v>
      </c>
      <c r="R8" s="49">
        <f>Q8*0.2</f>
        <v>2355.3919999999998</v>
      </c>
      <c r="S8" s="31">
        <f t="shared" ref="S8:S14" si="0">Q8+R8</f>
        <v>14132.351999999999</v>
      </c>
      <c r="T8" s="32"/>
      <c r="U8" s="31"/>
      <c r="V8" s="31">
        <f>Q8*0.00948</f>
        <v>111.6455808</v>
      </c>
      <c r="W8" s="36">
        <f t="shared" ref="W8:W14" si="1">SUM(S8:V8)</f>
        <v>14243.997580799998</v>
      </c>
      <c r="X8" s="37">
        <v>45880</v>
      </c>
      <c r="Y8" s="30" t="s">
        <v>134</v>
      </c>
      <c r="Z8" s="29" t="s">
        <v>103</v>
      </c>
    </row>
    <row r="9" spans="1:32" ht="66.75" customHeight="1" thickBot="1" x14ac:dyDescent="0.25">
      <c r="A9" s="28">
        <v>2</v>
      </c>
      <c r="B9" s="29" t="s">
        <v>118</v>
      </c>
      <c r="C9" s="35" t="s">
        <v>119</v>
      </c>
      <c r="D9" s="99" t="s">
        <v>33</v>
      </c>
      <c r="E9" s="214" t="s">
        <v>113</v>
      </c>
      <c r="F9" s="215"/>
      <c r="G9" s="215"/>
      <c r="H9" s="216"/>
      <c r="I9" s="214" t="s">
        <v>113</v>
      </c>
      <c r="J9" s="215"/>
      <c r="K9" s="215"/>
      <c r="L9" s="216"/>
      <c r="M9" s="214" t="s">
        <v>83</v>
      </c>
      <c r="N9" s="215"/>
      <c r="O9" s="216"/>
      <c r="P9" s="30" t="s">
        <v>130</v>
      </c>
      <c r="Q9" s="36">
        <v>3510.08</v>
      </c>
      <c r="R9" s="49">
        <f t="shared" ref="R9:R14" si="2">Q9*0.2</f>
        <v>702.01600000000008</v>
      </c>
      <c r="S9" s="31">
        <f t="shared" si="0"/>
        <v>4212.0959999999995</v>
      </c>
      <c r="T9" s="32"/>
      <c r="U9" s="31"/>
      <c r="V9" s="31">
        <f t="shared" ref="V9:V14" si="3">Q9*0.00948</f>
        <v>33.275558400000001</v>
      </c>
      <c r="W9" s="36">
        <f t="shared" si="1"/>
        <v>4245.3715583999992</v>
      </c>
      <c r="X9" s="30" t="s">
        <v>130</v>
      </c>
      <c r="Y9" s="30" t="s">
        <v>131</v>
      </c>
      <c r="Z9" s="29" t="s">
        <v>102</v>
      </c>
    </row>
    <row r="10" spans="1:32" ht="87" customHeight="1" thickBot="1" x14ac:dyDescent="0.25">
      <c r="A10" s="28">
        <v>3</v>
      </c>
      <c r="B10" s="29" t="s">
        <v>120</v>
      </c>
      <c r="C10" s="35" t="s">
        <v>125</v>
      </c>
      <c r="D10" s="99" t="s">
        <v>33</v>
      </c>
      <c r="E10" s="214" t="s">
        <v>135</v>
      </c>
      <c r="F10" s="215"/>
      <c r="G10" s="215"/>
      <c r="H10" s="216"/>
      <c r="I10" s="214" t="s">
        <v>135</v>
      </c>
      <c r="J10" s="215"/>
      <c r="K10" s="215"/>
      <c r="L10" s="216"/>
      <c r="M10" s="214" t="s">
        <v>82</v>
      </c>
      <c r="N10" s="215"/>
      <c r="O10" s="216"/>
      <c r="P10" s="30" t="s">
        <v>136</v>
      </c>
      <c r="Q10" s="36">
        <v>44056.5</v>
      </c>
      <c r="R10" s="49">
        <f t="shared" si="2"/>
        <v>8811.3000000000011</v>
      </c>
      <c r="S10" s="31">
        <f t="shared" si="0"/>
        <v>52867.8</v>
      </c>
      <c r="T10" s="32"/>
      <c r="U10" s="31"/>
      <c r="V10" s="31">
        <f t="shared" si="3"/>
        <v>417.65562</v>
      </c>
      <c r="W10" s="36">
        <f t="shared" si="1"/>
        <v>53285.455620000001</v>
      </c>
      <c r="X10" s="85">
        <v>45887</v>
      </c>
      <c r="Y10" s="30" t="s">
        <v>137</v>
      </c>
      <c r="Z10" s="29" t="s">
        <v>81</v>
      </c>
    </row>
    <row r="11" spans="1:32" ht="86.25" customHeight="1" thickBot="1" x14ac:dyDescent="0.35">
      <c r="A11" s="28">
        <v>4</v>
      </c>
      <c r="B11" s="29" t="s">
        <v>121</v>
      </c>
      <c r="C11" s="35" t="s">
        <v>126</v>
      </c>
      <c r="D11" s="99" t="s">
        <v>33</v>
      </c>
      <c r="E11" s="198" t="s">
        <v>138</v>
      </c>
      <c r="F11" s="199"/>
      <c r="G11" s="44"/>
      <c r="H11" s="44"/>
      <c r="I11" s="214" t="s">
        <v>138</v>
      </c>
      <c r="J11" s="215"/>
      <c r="K11" s="215"/>
      <c r="L11" s="216"/>
      <c r="M11" s="214" t="s">
        <v>77</v>
      </c>
      <c r="N11" s="215"/>
      <c r="O11" s="216"/>
      <c r="P11" s="30" t="s">
        <v>116</v>
      </c>
      <c r="Q11" s="36">
        <v>55096.800000000003</v>
      </c>
      <c r="R11" s="49">
        <f t="shared" si="2"/>
        <v>11019.36</v>
      </c>
      <c r="S11" s="31">
        <f t="shared" si="0"/>
        <v>66116.160000000003</v>
      </c>
      <c r="T11" s="32"/>
      <c r="U11" s="31"/>
      <c r="V11" s="31">
        <f t="shared" si="3"/>
        <v>522.31766400000004</v>
      </c>
      <c r="W11" s="36">
        <f t="shared" si="1"/>
        <v>66638.477664000005</v>
      </c>
      <c r="X11" s="30" t="s">
        <v>116</v>
      </c>
      <c r="Y11" s="30" t="s">
        <v>139</v>
      </c>
      <c r="Z11" s="29" t="s">
        <v>90</v>
      </c>
    </row>
    <row r="12" spans="1:32" ht="91.5" customHeight="1" thickBot="1" x14ac:dyDescent="0.35">
      <c r="A12" s="28">
        <v>5</v>
      </c>
      <c r="B12" s="29" t="s">
        <v>122</v>
      </c>
      <c r="C12" s="35" t="s">
        <v>127</v>
      </c>
      <c r="D12" s="99" t="s">
        <v>33</v>
      </c>
      <c r="E12" s="198" t="s">
        <v>140</v>
      </c>
      <c r="F12" s="199"/>
      <c r="G12" s="44"/>
      <c r="H12" s="44"/>
      <c r="I12" s="214" t="s">
        <v>140</v>
      </c>
      <c r="J12" s="215"/>
      <c r="K12" s="215"/>
      <c r="L12" s="216"/>
      <c r="M12" s="214" t="s">
        <v>82</v>
      </c>
      <c r="N12" s="215"/>
      <c r="O12" s="216"/>
      <c r="P12" s="30" t="s">
        <v>116</v>
      </c>
      <c r="Q12" s="36">
        <v>9712</v>
      </c>
      <c r="R12" s="49">
        <f t="shared" si="2"/>
        <v>1942.4</v>
      </c>
      <c r="S12" s="31">
        <f t="shared" si="0"/>
        <v>11654.4</v>
      </c>
      <c r="T12" s="32"/>
      <c r="U12" s="31"/>
      <c r="V12" s="31">
        <f t="shared" si="3"/>
        <v>92.069760000000002</v>
      </c>
      <c r="W12" s="36">
        <f t="shared" si="1"/>
        <v>11746.46976</v>
      </c>
      <c r="X12" s="30" t="s">
        <v>116</v>
      </c>
      <c r="Y12" s="30" t="s">
        <v>141</v>
      </c>
      <c r="Z12" s="29" t="s">
        <v>102</v>
      </c>
    </row>
    <row r="13" spans="1:32" ht="62.25" customHeight="1" thickBot="1" x14ac:dyDescent="0.35">
      <c r="A13" s="28">
        <v>6</v>
      </c>
      <c r="B13" s="29" t="s">
        <v>123</v>
      </c>
      <c r="C13" s="35" t="s">
        <v>128</v>
      </c>
      <c r="D13" s="99" t="s">
        <v>33</v>
      </c>
      <c r="E13" s="198" t="s">
        <v>142</v>
      </c>
      <c r="F13" s="199"/>
      <c r="G13" s="44"/>
      <c r="H13" s="44"/>
      <c r="I13" s="214" t="s">
        <v>142</v>
      </c>
      <c r="J13" s="215"/>
      <c r="K13" s="215"/>
      <c r="L13" s="216"/>
      <c r="M13" s="214" t="s">
        <v>143</v>
      </c>
      <c r="N13" s="215"/>
      <c r="O13" s="216"/>
      <c r="P13" s="30" t="s">
        <v>112</v>
      </c>
      <c r="Q13" s="36">
        <v>154664.95000000001</v>
      </c>
      <c r="R13" s="49">
        <f t="shared" si="2"/>
        <v>30932.990000000005</v>
      </c>
      <c r="S13" s="31">
        <f t="shared" si="0"/>
        <v>185597.94</v>
      </c>
      <c r="T13" s="32"/>
      <c r="U13" s="31"/>
      <c r="V13" s="31">
        <f t="shared" si="3"/>
        <v>1466.2237260000002</v>
      </c>
      <c r="W13" s="36">
        <f t="shared" si="1"/>
        <v>187064.163726</v>
      </c>
      <c r="X13" s="30" t="s">
        <v>117</v>
      </c>
      <c r="Y13" s="30" t="s">
        <v>144</v>
      </c>
      <c r="Z13" s="29" t="s">
        <v>102</v>
      </c>
    </row>
    <row r="14" spans="1:32" ht="62.25" customHeight="1" thickBot="1" x14ac:dyDescent="0.35">
      <c r="A14" s="28">
        <v>7</v>
      </c>
      <c r="B14" s="29" t="s">
        <v>124</v>
      </c>
      <c r="C14" s="35" t="s">
        <v>129</v>
      </c>
      <c r="D14" s="99" t="s">
        <v>33</v>
      </c>
      <c r="E14" s="198" t="s">
        <v>92</v>
      </c>
      <c r="F14" s="199"/>
      <c r="G14" s="44"/>
      <c r="H14" s="44"/>
      <c r="I14" s="214" t="s">
        <v>92</v>
      </c>
      <c r="J14" s="215"/>
      <c r="K14" s="215"/>
      <c r="L14" s="216"/>
      <c r="M14" s="214" t="s">
        <v>77</v>
      </c>
      <c r="N14" s="215"/>
      <c r="O14" s="216"/>
      <c r="P14" s="30" t="s">
        <v>145</v>
      </c>
      <c r="Q14" s="36">
        <v>27623.53</v>
      </c>
      <c r="R14" s="49">
        <f t="shared" si="2"/>
        <v>5524.7060000000001</v>
      </c>
      <c r="S14" s="31">
        <f t="shared" si="0"/>
        <v>33148.235999999997</v>
      </c>
      <c r="T14" s="32"/>
      <c r="U14" s="31"/>
      <c r="V14" s="31">
        <f t="shared" si="3"/>
        <v>261.87106440000002</v>
      </c>
      <c r="W14" s="36">
        <f t="shared" si="1"/>
        <v>33410.107064399999</v>
      </c>
      <c r="X14" s="30" t="s">
        <v>145</v>
      </c>
      <c r="Y14" s="30" t="s">
        <v>146</v>
      </c>
      <c r="Z14" s="29" t="s">
        <v>90</v>
      </c>
    </row>
    <row r="15" spans="1:32" ht="26.25" hidden="1" customHeight="1" thickBot="1" x14ac:dyDescent="0.35">
      <c r="A15" s="28">
        <v>8</v>
      </c>
      <c r="B15" s="29"/>
      <c r="C15" s="35"/>
      <c r="D15" s="99"/>
      <c r="E15" s="94"/>
      <c r="F15" s="95"/>
      <c r="G15" s="44"/>
      <c r="H15" s="44"/>
      <c r="I15" s="96"/>
      <c r="J15" s="97"/>
      <c r="K15" s="97"/>
      <c r="L15" s="98"/>
      <c r="M15" s="96"/>
      <c r="N15" s="97"/>
      <c r="O15" s="98"/>
      <c r="P15" s="30"/>
      <c r="Q15" s="36"/>
      <c r="R15" s="49"/>
      <c r="S15" s="31"/>
      <c r="T15" s="32"/>
      <c r="U15" s="31"/>
      <c r="V15" s="31"/>
      <c r="W15" s="36"/>
      <c r="X15" s="30"/>
      <c r="Y15" s="30"/>
      <c r="Z15" s="29"/>
    </row>
    <row r="16" spans="1:32" ht="26.25" hidden="1" customHeight="1" thickBot="1" x14ac:dyDescent="0.35">
      <c r="A16" s="28">
        <v>9</v>
      </c>
      <c r="B16" s="29"/>
      <c r="C16" s="35"/>
      <c r="D16" s="99"/>
      <c r="E16" s="94"/>
      <c r="F16" s="95"/>
      <c r="G16" s="44"/>
      <c r="H16" s="44"/>
      <c r="I16" s="96"/>
      <c r="J16" s="97"/>
      <c r="K16" s="97"/>
      <c r="L16" s="98"/>
      <c r="M16" s="96"/>
      <c r="N16" s="97"/>
      <c r="O16" s="98"/>
      <c r="P16" s="30"/>
      <c r="Q16" s="36"/>
      <c r="R16" s="49"/>
      <c r="S16" s="31"/>
      <c r="T16" s="32"/>
      <c r="U16" s="31"/>
      <c r="V16" s="31"/>
      <c r="W16" s="36"/>
      <c r="X16" s="30"/>
      <c r="Y16" s="30"/>
      <c r="Z16" s="29"/>
    </row>
    <row r="17" spans="1:26" ht="26.25" hidden="1" customHeight="1" thickBot="1" x14ac:dyDescent="0.35">
      <c r="A17" s="28">
        <v>10</v>
      </c>
      <c r="B17" s="29"/>
      <c r="C17" s="35"/>
      <c r="D17" s="99"/>
      <c r="E17" s="94"/>
      <c r="F17" s="95"/>
      <c r="G17" s="44"/>
      <c r="H17" s="44"/>
      <c r="I17" s="96"/>
      <c r="J17" s="97"/>
      <c r="K17" s="97"/>
      <c r="L17" s="98"/>
      <c r="M17" s="96"/>
      <c r="N17" s="97"/>
      <c r="O17" s="98"/>
      <c r="P17" s="30"/>
      <c r="Q17" s="36"/>
      <c r="R17" s="49"/>
      <c r="S17" s="31"/>
      <c r="T17" s="32"/>
      <c r="U17" s="31"/>
      <c r="V17" s="31"/>
      <c r="W17" s="36"/>
      <c r="X17" s="30"/>
      <c r="Y17" s="30"/>
      <c r="Z17" s="29"/>
    </row>
    <row r="18" spans="1:26" ht="26.25" hidden="1" customHeight="1" thickBot="1" x14ac:dyDescent="0.35">
      <c r="A18" s="28">
        <v>11</v>
      </c>
      <c r="B18" s="29"/>
      <c r="C18" s="35"/>
      <c r="D18" s="99"/>
      <c r="E18" s="94"/>
      <c r="F18" s="95"/>
      <c r="G18" s="44"/>
      <c r="H18" s="44"/>
      <c r="I18" s="96"/>
      <c r="J18" s="97"/>
      <c r="K18" s="97"/>
      <c r="L18" s="98"/>
      <c r="M18" s="96"/>
      <c r="N18" s="97"/>
      <c r="O18" s="98"/>
      <c r="P18" s="30"/>
      <c r="Q18" s="36"/>
      <c r="R18" s="49"/>
      <c r="S18" s="31"/>
      <c r="T18" s="32"/>
      <c r="U18" s="31"/>
      <c r="V18" s="31"/>
      <c r="W18" s="36"/>
      <c r="X18" s="30"/>
      <c r="Y18" s="30"/>
      <c r="Z18" s="29"/>
    </row>
    <row r="19" spans="1:26" ht="26.25" hidden="1" customHeight="1" thickBot="1" x14ac:dyDescent="0.35">
      <c r="A19" s="28">
        <v>12</v>
      </c>
      <c r="B19" s="29"/>
      <c r="C19" s="35"/>
      <c r="D19" s="99"/>
      <c r="E19" s="94"/>
      <c r="F19" s="95"/>
      <c r="G19" s="44"/>
      <c r="H19" s="44"/>
      <c r="I19" s="96"/>
      <c r="J19" s="97"/>
      <c r="K19" s="97"/>
      <c r="L19" s="98"/>
      <c r="M19" s="96"/>
      <c r="N19" s="97"/>
      <c r="O19" s="98"/>
      <c r="P19" s="30"/>
      <c r="Q19" s="36"/>
      <c r="R19" s="49"/>
      <c r="S19" s="31"/>
      <c r="T19" s="32"/>
      <c r="U19" s="31"/>
      <c r="V19" s="31"/>
      <c r="W19" s="36"/>
      <c r="X19" s="30"/>
      <c r="Y19" s="30"/>
      <c r="Z19" s="29"/>
    </row>
    <row r="20" spans="1:26" ht="26.25" hidden="1" customHeight="1" thickBot="1" x14ac:dyDescent="0.35">
      <c r="A20" s="28">
        <v>13</v>
      </c>
      <c r="B20" s="29"/>
      <c r="C20" s="35"/>
      <c r="D20" s="99"/>
      <c r="E20" s="94"/>
      <c r="F20" s="95"/>
      <c r="G20" s="44"/>
      <c r="H20" s="44"/>
      <c r="I20" s="96"/>
      <c r="J20" s="97"/>
      <c r="K20" s="97"/>
      <c r="L20" s="98"/>
      <c r="M20" s="96"/>
      <c r="N20" s="97"/>
      <c r="O20" s="98"/>
      <c r="P20" s="30"/>
      <c r="Q20" s="36"/>
      <c r="R20" s="49"/>
      <c r="S20" s="31"/>
      <c r="T20" s="32"/>
      <c r="U20" s="31"/>
      <c r="V20" s="31"/>
      <c r="W20" s="36"/>
      <c r="X20" s="30"/>
      <c r="Y20" s="30"/>
      <c r="Z20" s="29"/>
    </row>
    <row r="21" spans="1:26" ht="26.25" hidden="1" customHeight="1" thickBot="1" x14ac:dyDescent="0.35">
      <c r="A21" s="28">
        <v>14</v>
      </c>
      <c r="B21" s="29"/>
      <c r="C21" s="35"/>
      <c r="D21" s="99"/>
      <c r="E21" s="94"/>
      <c r="F21" s="95"/>
      <c r="G21" s="44"/>
      <c r="H21" s="44"/>
      <c r="I21" s="96"/>
      <c r="J21" s="97"/>
      <c r="K21" s="97"/>
      <c r="L21" s="98"/>
      <c r="M21" s="96"/>
      <c r="N21" s="97"/>
      <c r="O21" s="98"/>
      <c r="P21" s="30"/>
      <c r="Q21" s="36"/>
      <c r="R21" s="49"/>
      <c r="S21" s="31"/>
      <c r="T21" s="32"/>
      <c r="U21" s="31"/>
      <c r="V21" s="31"/>
      <c r="W21" s="36"/>
      <c r="X21" s="30"/>
      <c r="Y21" s="30"/>
      <c r="Z21" s="29"/>
    </row>
    <row r="22" spans="1:26" ht="26.25" hidden="1" customHeight="1" thickBot="1" x14ac:dyDescent="0.35">
      <c r="A22" s="28">
        <v>15</v>
      </c>
      <c r="B22" s="29"/>
      <c r="C22" s="35"/>
      <c r="D22" s="99"/>
      <c r="E22" s="94"/>
      <c r="F22" s="95"/>
      <c r="G22" s="44"/>
      <c r="H22" s="44"/>
      <c r="I22" s="96"/>
      <c r="J22" s="97"/>
      <c r="K22" s="97"/>
      <c r="L22" s="98"/>
      <c r="M22" s="96"/>
      <c r="N22" s="97"/>
      <c r="O22" s="98"/>
      <c r="P22" s="30"/>
      <c r="Q22" s="36"/>
      <c r="R22" s="49"/>
      <c r="S22" s="31"/>
      <c r="T22" s="32"/>
      <c r="U22" s="31"/>
      <c r="V22" s="31"/>
      <c r="W22" s="36"/>
      <c r="X22" s="30"/>
      <c r="Y22" s="30"/>
      <c r="Z22" s="29"/>
    </row>
    <row r="23" spans="1:26" ht="26.25" hidden="1" customHeight="1" thickBot="1" x14ac:dyDescent="0.35">
      <c r="A23" s="28">
        <v>16</v>
      </c>
      <c r="B23" s="29"/>
      <c r="C23" s="35"/>
      <c r="D23" s="99"/>
      <c r="E23" s="94"/>
      <c r="F23" s="95"/>
      <c r="G23" s="44"/>
      <c r="H23" s="44"/>
      <c r="I23" s="96"/>
      <c r="J23" s="97"/>
      <c r="K23" s="97"/>
      <c r="L23" s="98"/>
      <c r="M23" s="96"/>
      <c r="N23" s="97"/>
      <c r="O23" s="98"/>
      <c r="P23" s="30"/>
      <c r="Q23" s="36"/>
      <c r="R23" s="49"/>
      <c r="S23" s="31"/>
      <c r="T23" s="32"/>
      <c r="U23" s="31"/>
      <c r="V23" s="31"/>
      <c r="W23" s="36"/>
      <c r="X23" s="30"/>
      <c r="Y23" s="30"/>
      <c r="Z23" s="29"/>
    </row>
    <row r="24" spans="1:26" ht="26.25" hidden="1" customHeight="1" thickBot="1" x14ac:dyDescent="0.35">
      <c r="A24" s="28">
        <v>17</v>
      </c>
      <c r="B24" s="29"/>
      <c r="C24" s="35"/>
      <c r="D24" s="99"/>
      <c r="E24" s="94"/>
      <c r="F24" s="95"/>
      <c r="G24" s="44"/>
      <c r="H24" s="44"/>
      <c r="I24" s="96"/>
      <c r="J24" s="97"/>
      <c r="K24" s="97"/>
      <c r="L24" s="98"/>
      <c r="M24" s="96"/>
      <c r="N24" s="97"/>
      <c r="O24" s="98"/>
      <c r="P24" s="30"/>
      <c r="Q24" s="36"/>
      <c r="R24" s="49"/>
      <c r="S24" s="31"/>
      <c r="T24" s="32"/>
      <c r="U24" s="31"/>
      <c r="V24" s="31"/>
      <c r="W24" s="36"/>
      <c r="X24" s="30"/>
      <c r="Y24" s="30"/>
      <c r="Z24" s="29"/>
    </row>
    <row r="25" spans="1:26" ht="26.25" hidden="1" customHeight="1" thickBot="1" x14ac:dyDescent="0.35">
      <c r="A25" s="28">
        <v>18</v>
      </c>
      <c r="B25" s="29"/>
      <c r="C25" s="35"/>
      <c r="D25" s="99"/>
      <c r="E25" s="94"/>
      <c r="F25" s="95"/>
      <c r="G25" s="44"/>
      <c r="H25" s="44"/>
      <c r="I25" s="96"/>
      <c r="J25" s="97"/>
      <c r="K25" s="97"/>
      <c r="L25" s="98"/>
      <c r="M25" s="96"/>
      <c r="N25" s="97"/>
      <c r="O25" s="98"/>
      <c r="P25" s="30"/>
      <c r="Q25" s="36"/>
      <c r="R25" s="49"/>
      <c r="S25" s="31"/>
      <c r="T25" s="32"/>
      <c r="U25" s="31"/>
      <c r="V25" s="31"/>
      <c r="W25" s="36"/>
      <c r="X25" s="30"/>
      <c r="Y25" s="30"/>
      <c r="Z25" s="29"/>
    </row>
    <row r="26" spans="1:26" ht="26.25" hidden="1" customHeight="1" thickBot="1" x14ac:dyDescent="0.35">
      <c r="A26" s="28">
        <v>19</v>
      </c>
      <c r="B26" s="29"/>
      <c r="C26" s="35"/>
      <c r="D26" s="99"/>
      <c r="E26" s="94"/>
      <c r="F26" s="95"/>
      <c r="G26" s="44"/>
      <c r="H26" s="44"/>
      <c r="I26" s="96"/>
      <c r="J26" s="97"/>
      <c r="K26" s="97"/>
      <c r="L26" s="98"/>
      <c r="M26" s="96"/>
      <c r="N26" s="97"/>
      <c r="O26" s="98"/>
      <c r="P26" s="30"/>
      <c r="Q26" s="36"/>
      <c r="R26" s="49"/>
      <c r="S26" s="31"/>
      <c r="T26" s="32"/>
      <c r="U26" s="31"/>
      <c r="V26" s="31"/>
      <c r="W26" s="36"/>
      <c r="X26" s="30"/>
      <c r="Y26" s="30"/>
      <c r="Z26" s="29"/>
    </row>
    <row r="27" spans="1:26" ht="26.25" hidden="1" customHeight="1" thickBot="1" x14ac:dyDescent="0.35">
      <c r="A27" s="28">
        <v>20</v>
      </c>
      <c r="B27" s="29"/>
      <c r="C27" s="35"/>
      <c r="D27" s="99"/>
      <c r="E27" s="94"/>
      <c r="F27" s="95"/>
      <c r="G27" s="44"/>
      <c r="H27" s="44"/>
      <c r="I27" s="96"/>
      <c r="J27" s="97"/>
      <c r="K27" s="97"/>
      <c r="L27" s="98"/>
      <c r="M27" s="96"/>
      <c r="N27" s="97"/>
      <c r="O27" s="98"/>
      <c r="P27" s="30"/>
      <c r="Q27" s="36"/>
      <c r="R27" s="49"/>
      <c r="S27" s="31"/>
      <c r="T27" s="32"/>
      <c r="U27" s="31"/>
      <c r="V27" s="31"/>
      <c r="W27" s="36"/>
      <c r="X27" s="30"/>
      <c r="Y27" s="30"/>
      <c r="Z27" s="29"/>
    </row>
    <row r="28" spans="1:26" ht="26.25" hidden="1" customHeight="1" thickBot="1" x14ac:dyDescent="0.35">
      <c r="A28" s="28">
        <v>21</v>
      </c>
      <c r="B28" s="29"/>
      <c r="C28" s="35"/>
      <c r="D28" s="99"/>
      <c r="E28" s="94"/>
      <c r="F28" s="95"/>
      <c r="G28" s="44"/>
      <c r="H28" s="44"/>
      <c r="I28" s="96"/>
      <c r="J28" s="97"/>
      <c r="K28" s="97"/>
      <c r="L28" s="98"/>
      <c r="M28" s="96"/>
      <c r="N28" s="97"/>
      <c r="O28" s="98"/>
      <c r="P28" s="30"/>
      <c r="Q28" s="36"/>
      <c r="R28" s="49"/>
      <c r="S28" s="31"/>
      <c r="T28" s="32"/>
      <c r="U28" s="31"/>
      <c r="V28" s="31"/>
      <c r="W28" s="36"/>
      <c r="X28" s="30"/>
      <c r="Y28" s="30"/>
      <c r="Z28" s="29"/>
    </row>
    <row r="29" spans="1:26" ht="26.25" hidden="1" customHeight="1" thickBot="1" x14ac:dyDescent="0.35">
      <c r="A29" s="28">
        <v>22</v>
      </c>
      <c r="B29" s="29"/>
      <c r="C29" s="35"/>
      <c r="D29" s="99"/>
      <c r="E29" s="94"/>
      <c r="F29" s="95"/>
      <c r="G29" s="44"/>
      <c r="H29" s="44"/>
      <c r="I29" s="96"/>
      <c r="J29" s="97"/>
      <c r="K29" s="97"/>
      <c r="L29" s="98"/>
      <c r="M29" s="96"/>
      <c r="N29" s="97"/>
      <c r="O29" s="98"/>
      <c r="P29" s="30"/>
      <c r="Q29" s="36"/>
      <c r="R29" s="49"/>
      <c r="S29" s="31"/>
      <c r="T29" s="32"/>
      <c r="U29" s="31"/>
      <c r="V29" s="31"/>
      <c r="W29" s="36"/>
      <c r="X29" s="30"/>
      <c r="Y29" s="30"/>
      <c r="Z29" s="29"/>
    </row>
    <row r="30" spans="1:26" ht="26.25" hidden="1" customHeight="1" thickBot="1" x14ac:dyDescent="0.35">
      <c r="A30" s="28">
        <v>23</v>
      </c>
      <c r="B30" s="29"/>
      <c r="C30" s="35"/>
      <c r="D30" s="99"/>
      <c r="E30" s="94"/>
      <c r="F30" s="95"/>
      <c r="G30" s="44"/>
      <c r="H30" s="44"/>
      <c r="I30" s="96"/>
      <c r="J30" s="97"/>
      <c r="K30" s="97"/>
      <c r="L30" s="98"/>
      <c r="M30" s="96"/>
      <c r="N30" s="97"/>
      <c r="O30" s="98"/>
      <c r="P30" s="30"/>
      <c r="Q30" s="36"/>
      <c r="R30" s="49"/>
      <c r="S30" s="31"/>
      <c r="T30" s="32"/>
      <c r="U30" s="31"/>
      <c r="V30" s="31"/>
      <c r="W30" s="36"/>
      <c r="X30" s="30"/>
      <c r="Y30" s="30"/>
      <c r="Z30" s="29"/>
    </row>
    <row r="31" spans="1:26" ht="26.25" hidden="1" customHeight="1" thickBot="1" x14ac:dyDescent="0.35">
      <c r="A31" s="28">
        <v>24</v>
      </c>
      <c r="B31" s="29"/>
      <c r="C31" s="35"/>
      <c r="D31" s="99"/>
      <c r="E31" s="94"/>
      <c r="F31" s="95"/>
      <c r="G31" s="44"/>
      <c r="H31" s="44"/>
      <c r="I31" s="96"/>
      <c r="J31" s="97"/>
      <c r="K31" s="97"/>
      <c r="L31" s="98"/>
      <c r="M31" s="96"/>
      <c r="N31" s="97"/>
      <c r="O31" s="98"/>
      <c r="P31" s="30"/>
      <c r="Q31" s="36"/>
      <c r="R31" s="49"/>
      <c r="S31" s="31"/>
      <c r="T31" s="32"/>
      <c r="U31" s="31"/>
      <c r="V31" s="31"/>
      <c r="W31" s="36"/>
      <c r="X31" s="30"/>
      <c r="Y31" s="30"/>
      <c r="Z31" s="29"/>
    </row>
    <row r="32" spans="1:26" ht="48" customHeight="1" thickBot="1" x14ac:dyDescent="0.35">
      <c r="A32" s="28"/>
      <c r="B32" s="29"/>
      <c r="C32" s="35"/>
      <c r="D32" s="99"/>
      <c r="E32" s="198"/>
      <c r="F32" s="199"/>
      <c r="G32" s="44"/>
      <c r="H32" s="44"/>
      <c r="I32" s="214"/>
      <c r="J32" s="215"/>
      <c r="K32" s="215"/>
      <c r="L32" s="216"/>
      <c r="M32" s="214"/>
      <c r="N32" s="215"/>
      <c r="O32" s="216"/>
      <c r="P32" s="30"/>
      <c r="Q32" s="36"/>
      <c r="R32" s="49"/>
      <c r="S32" s="31"/>
      <c r="T32" s="32"/>
      <c r="U32" s="31"/>
      <c r="V32" s="31"/>
      <c r="W32" s="36"/>
      <c r="X32" s="30"/>
      <c r="Y32" s="30"/>
      <c r="Z32" s="29"/>
    </row>
    <row r="33" spans="1:26" ht="79.5" customHeight="1" thickBot="1" x14ac:dyDescent="0.25">
      <c r="A33" s="195" t="s">
        <v>6</v>
      </c>
      <c r="B33" s="196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7"/>
      <c r="Q33" s="36">
        <f>SUM(Q8:Q32)</f>
        <v>306440.82000000007</v>
      </c>
      <c r="R33" s="31">
        <f>SUM(R8:R32)</f>
        <v>61288.164000000004</v>
      </c>
      <c r="S33" s="31">
        <f>SUM(S8:S32)</f>
        <v>367728.984</v>
      </c>
      <c r="T33" s="33" t="s">
        <v>30</v>
      </c>
      <c r="U33" s="31"/>
      <c r="V33" s="31">
        <f>SUM(V8:V32)</f>
        <v>2905.0589736000002</v>
      </c>
      <c r="W33" s="36">
        <f>SUM(W8:W32)</f>
        <v>370634.04297359998</v>
      </c>
      <c r="X33" s="32"/>
      <c r="Y33" s="30"/>
      <c r="Z33" s="34"/>
    </row>
    <row r="34" spans="1:26" ht="73.5" customHeight="1" thickBot="1" x14ac:dyDescent="0.4">
      <c r="A34" s="183" t="s">
        <v>28</v>
      </c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5"/>
      <c r="T34" s="189" t="s">
        <v>11</v>
      </c>
      <c r="U34" s="190"/>
      <c r="V34" s="191"/>
      <c r="W34" s="192" t="s">
        <v>73</v>
      </c>
      <c r="X34" s="193"/>
      <c r="Y34" s="193"/>
      <c r="Z34" s="194"/>
    </row>
    <row r="35" spans="1:26" ht="69.75" customHeight="1" thickBot="1" x14ac:dyDescent="0.4">
      <c r="A35" s="183" t="s">
        <v>29</v>
      </c>
      <c r="B35" s="184"/>
      <c r="C35" s="184"/>
      <c r="D35" s="184"/>
      <c r="E35" s="184"/>
      <c r="F35" s="184"/>
      <c r="G35" s="184"/>
      <c r="H35" s="184"/>
      <c r="I35" s="184"/>
      <c r="J35" s="184"/>
      <c r="K35" s="184"/>
      <c r="L35" s="184"/>
      <c r="M35" s="184"/>
      <c r="N35" s="184"/>
      <c r="O35" s="184"/>
      <c r="P35" s="184"/>
      <c r="Q35" s="184"/>
      <c r="R35" s="184"/>
      <c r="S35" s="185"/>
      <c r="T35" s="189" t="s">
        <v>12</v>
      </c>
      <c r="U35" s="190"/>
      <c r="V35" s="191"/>
      <c r="W35" s="192" t="s">
        <v>104</v>
      </c>
      <c r="X35" s="193"/>
      <c r="Y35" s="193"/>
      <c r="Z35" s="194"/>
    </row>
    <row r="36" spans="1:26" ht="39" customHeight="1" thickBot="1" x14ac:dyDescent="0.4">
      <c r="A36" s="180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2"/>
      <c r="T36" s="189" t="s">
        <v>13</v>
      </c>
      <c r="U36" s="190"/>
      <c r="V36" s="191"/>
      <c r="W36" s="192" t="s">
        <v>32</v>
      </c>
      <c r="X36" s="193"/>
      <c r="Y36" s="193"/>
      <c r="Z36" s="194"/>
    </row>
    <row r="37" spans="1:26" ht="57.75" customHeight="1" thickBot="1" x14ac:dyDescent="0.45">
      <c r="A37" s="177"/>
      <c r="B37" s="178"/>
      <c r="C37" s="178"/>
      <c r="D37" s="178"/>
      <c r="E37" s="178"/>
      <c r="F37" s="178"/>
      <c r="G37" s="178"/>
      <c r="H37" s="178"/>
      <c r="I37" s="178"/>
      <c r="J37" s="178"/>
      <c r="K37" s="178"/>
      <c r="L37" s="178"/>
      <c r="M37" s="178"/>
      <c r="N37" s="178"/>
      <c r="O37" s="178"/>
      <c r="P37" s="178"/>
      <c r="Q37" s="178"/>
      <c r="R37" s="178"/>
      <c r="S37" s="179"/>
      <c r="T37" s="189" t="s">
        <v>14</v>
      </c>
      <c r="U37" s="190"/>
      <c r="V37" s="191"/>
      <c r="W37" s="186"/>
      <c r="X37" s="187"/>
      <c r="Y37" s="187"/>
      <c r="Z37" s="188"/>
    </row>
    <row r="38" spans="1:26" ht="38.25" customHeight="1" x14ac:dyDescent="0.2">
      <c r="C38" s="2"/>
    </row>
    <row r="39" spans="1:26" ht="38.25" customHeight="1" x14ac:dyDescent="0.2"/>
    <row r="40" spans="1:26" ht="12.75" customHeight="1" x14ac:dyDescent="0.2"/>
    <row r="41" spans="1:26" ht="12.75" customHeight="1" x14ac:dyDescent="0.2"/>
    <row r="42" spans="1:26" ht="12.75" customHeight="1" x14ac:dyDescent="0.2"/>
    <row r="43" spans="1:26" ht="12.75" customHeight="1" x14ac:dyDescent="0.2"/>
    <row r="44" spans="1:26" ht="12.75" customHeight="1" x14ac:dyDescent="0.2"/>
    <row r="45" spans="1:26" ht="12.75" customHeight="1" x14ac:dyDescent="0.2"/>
  </sheetData>
  <autoFilter ref="A5:Z23" xr:uid="{00000000-0009-0000-0000-000007000000}">
    <filterColumn colId="4" showButton="0"/>
    <filterColumn colId="5" showButton="0"/>
    <filterColumn colId="6" showButton="0"/>
    <filterColumn colId="8" showButton="0"/>
    <filterColumn colId="9" showButton="0"/>
    <filterColumn colId="10" showButton="0"/>
    <filterColumn colId="12" showButton="0"/>
    <filterColumn colId="13" showButton="0"/>
  </autoFilter>
  <mergeCells count="60">
    <mergeCell ref="E32:F32"/>
    <mergeCell ref="I32:L32"/>
    <mergeCell ref="M32:O32"/>
    <mergeCell ref="A36:S36"/>
    <mergeCell ref="T36:V36"/>
    <mergeCell ref="W36:Z36"/>
    <mergeCell ref="A37:S37"/>
    <mergeCell ref="T37:V37"/>
    <mergeCell ref="W37:Z37"/>
    <mergeCell ref="A33:P33"/>
    <mergeCell ref="A34:S34"/>
    <mergeCell ref="T34:V34"/>
    <mergeCell ref="W34:Z34"/>
    <mergeCell ref="A35:S35"/>
    <mergeCell ref="T35:V35"/>
    <mergeCell ref="W35:Z35"/>
    <mergeCell ref="E7:F7"/>
    <mergeCell ref="I7:L7"/>
    <mergeCell ref="M7:O7"/>
    <mergeCell ref="T5:T6"/>
    <mergeCell ref="U5:U6"/>
    <mergeCell ref="M5:O6"/>
    <mergeCell ref="P5:P6"/>
    <mergeCell ref="V5:V6"/>
    <mergeCell ref="A1:Z1"/>
    <mergeCell ref="A2:Z4"/>
    <mergeCell ref="A5:A6"/>
    <mergeCell ref="B5:B6"/>
    <mergeCell ref="C5:C6"/>
    <mergeCell ref="D5:D6"/>
    <mergeCell ref="E5:H6"/>
    <mergeCell ref="W5:W6"/>
    <mergeCell ref="X5:X6"/>
    <mergeCell ref="Y5:Y6"/>
    <mergeCell ref="Z5:Z6"/>
    <mergeCell ref="Q5:Q6"/>
    <mergeCell ref="R5:R6"/>
    <mergeCell ref="S5:S6"/>
    <mergeCell ref="I5:L6"/>
    <mergeCell ref="E11:F11"/>
    <mergeCell ref="I11:L11"/>
    <mergeCell ref="M11:O11"/>
    <mergeCell ref="E8:F8"/>
    <mergeCell ref="I8:L8"/>
    <mergeCell ref="M8:O8"/>
    <mergeCell ref="I9:L9"/>
    <mergeCell ref="M9:O9"/>
    <mergeCell ref="I10:L10"/>
    <mergeCell ref="M10:O10"/>
    <mergeCell ref="E9:H9"/>
    <mergeCell ref="E10:H10"/>
    <mergeCell ref="E14:F14"/>
    <mergeCell ref="I14:L14"/>
    <mergeCell ref="M14:O14"/>
    <mergeCell ref="E12:F12"/>
    <mergeCell ref="I12:L12"/>
    <mergeCell ref="M12:O12"/>
    <mergeCell ref="E13:F13"/>
    <mergeCell ref="I13:L13"/>
    <mergeCell ref="M13:O13"/>
  </mergeCells>
  <phoneticPr fontId="26" type="noConversion"/>
  <pageMargins left="0.9055118110236221" right="0.15748031496062992" top="0.43307086614173229" bottom="0" header="0.15748031496062992" footer="0.15748031496062992"/>
  <pageSetup paperSize="9" scale="37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ayfa9"/>
  <dimension ref="A1:AF37"/>
  <sheetViews>
    <sheetView view="pageBreakPreview" topLeftCell="A7" zoomScale="60" zoomScaleNormal="56" workbookViewId="0">
      <selection activeCell="W10" sqref="W10"/>
    </sheetView>
  </sheetViews>
  <sheetFormatPr defaultRowHeight="12.75" x14ac:dyDescent="0.2"/>
  <cols>
    <col min="1" max="1" width="7.5703125" customWidth="1"/>
    <col min="2" max="2" width="15.140625" style="1" customWidth="1"/>
    <col min="3" max="3" width="10.42578125" style="1" customWidth="1"/>
    <col min="4" max="4" width="9.28515625" style="1" customWidth="1"/>
    <col min="5" max="5" width="17.7109375" style="1" customWidth="1"/>
    <col min="6" max="6" width="23.28515625" style="1" customWidth="1"/>
    <col min="7" max="7" width="8.5703125" style="1" hidden="1" customWidth="1"/>
    <col min="8" max="8" width="10.28515625" style="1" hidden="1" customWidth="1"/>
    <col min="9" max="9" width="5.140625" style="1" customWidth="1"/>
    <col min="10" max="10" width="5.5703125" style="1" customWidth="1"/>
    <col min="11" max="11" width="5" style="1" customWidth="1"/>
    <col min="12" max="12" width="11.7109375" style="1" customWidth="1"/>
    <col min="13" max="13" width="8.42578125" style="1" customWidth="1"/>
    <col min="14" max="14" width="8" style="1" customWidth="1"/>
    <col min="15" max="15" width="10.28515625" style="1" customWidth="1"/>
    <col min="16" max="16" width="20" style="1" customWidth="1"/>
    <col min="17" max="17" width="19.5703125" style="1" bestFit="1" customWidth="1"/>
    <col min="18" max="18" width="16" style="1" bestFit="1" customWidth="1"/>
    <col min="19" max="19" width="19.5703125" style="1" bestFit="1" customWidth="1"/>
    <col min="20" max="20" width="17.28515625" style="1" customWidth="1"/>
    <col min="21" max="21" width="13.42578125" style="1" customWidth="1"/>
    <col min="22" max="22" width="13.85546875" style="1" customWidth="1"/>
    <col min="23" max="23" width="17.5703125" style="1" customWidth="1"/>
    <col min="24" max="24" width="24" style="1" customWidth="1"/>
    <col min="25" max="25" width="35.140625" style="1" bestFit="1" customWidth="1"/>
    <col min="26" max="26" width="26.7109375" style="1" bestFit="1" customWidth="1"/>
  </cols>
  <sheetData>
    <row r="1" spans="1:32" ht="43.5" customHeight="1" x14ac:dyDescent="0.4">
      <c r="A1" s="134" t="s">
        <v>10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6"/>
    </row>
    <row r="2" spans="1:32" ht="37.5" customHeight="1" x14ac:dyDescent="0.2">
      <c r="A2" s="137" t="s">
        <v>148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9"/>
    </row>
    <row r="3" spans="1:32" ht="30" customHeight="1" x14ac:dyDescent="0.2">
      <c r="A3" s="137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9"/>
    </row>
    <row r="4" spans="1:32" ht="36" customHeight="1" thickBot="1" x14ac:dyDescent="0.25">
      <c r="A4" s="137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9"/>
    </row>
    <row r="5" spans="1:32" s="3" customFormat="1" ht="68.25" customHeight="1" x14ac:dyDescent="0.3">
      <c r="A5" s="217" t="s">
        <v>9</v>
      </c>
      <c r="B5" s="200" t="s">
        <v>1</v>
      </c>
      <c r="C5" s="200" t="s">
        <v>2</v>
      </c>
      <c r="D5" s="200" t="s">
        <v>15</v>
      </c>
      <c r="E5" s="202" t="s">
        <v>5</v>
      </c>
      <c r="F5" s="203"/>
      <c r="G5" s="203"/>
      <c r="H5" s="204"/>
      <c r="I5" s="208" t="s">
        <v>16</v>
      </c>
      <c r="J5" s="209"/>
      <c r="K5" s="209"/>
      <c r="L5" s="210"/>
      <c r="M5" s="208" t="s">
        <v>3</v>
      </c>
      <c r="N5" s="209"/>
      <c r="O5" s="210"/>
      <c r="P5" s="200" t="s">
        <v>17</v>
      </c>
      <c r="Q5" s="200" t="s">
        <v>22</v>
      </c>
      <c r="R5" s="200" t="s">
        <v>75</v>
      </c>
      <c r="S5" s="200" t="s">
        <v>26</v>
      </c>
      <c r="T5" s="200" t="s">
        <v>27</v>
      </c>
      <c r="U5" s="200" t="s">
        <v>31</v>
      </c>
      <c r="V5" s="200" t="s">
        <v>18</v>
      </c>
      <c r="W5" s="200" t="s">
        <v>0</v>
      </c>
      <c r="X5" s="200" t="s">
        <v>8</v>
      </c>
      <c r="Y5" s="200" t="s">
        <v>7</v>
      </c>
      <c r="Z5" s="200" t="s">
        <v>4</v>
      </c>
    </row>
    <row r="6" spans="1:32" s="3" customFormat="1" ht="114" customHeight="1" thickBot="1" x14ac:dyDescent="0.35">
      <c r="A6" s="218"/>
      <c r="B6" s="201"/>
      <c r="C6" s="201"/>
      <c r="D6" s="201"/>
      <c r="E6" s="205"/>
      <c r="F6" s="206"/>
      <c r="G6" s="206"/>
      <c r="H6" s="207"/>
      <c r="I6" s="211"/>
      <c r="J6" s="212"/>
      <c r="K6" s="212"/>
      <c r="L6" s="213"/>
      <c r="M6" s="211"/>
      <c r="N6" s="212"/>
      <c r="O6" s="213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1"/>
      <c r="AA6" s="4"/>
      <c r="AB6" s="4"/>
      <c r="AC6" s="4"/>
      <c r="AD6" s="4"/>
      <c r="AE6" s="4"/>
      <c r="AF6" s="4"/>
    </row>
    <row r="7" spans="1:32" s="3" customFormat="1" ht="39" customHeight="1" thickBot="1" x14ac:dyDescent="0.35">
      <c r="A7" s="86"/>
      <c r="B7" s="92"/>
      <c r="C7" s="92"/>
      <c r="D7" s="92"/>
      <c r="E7" s="147"/>
      <c r="F7" s="148"/>
      <c r="G7" s="93"/>
      <c r="H7" s="93"/>
      <c r="I7" s="144"/>
      <c r="J7" s="145"/>
      <c r="K7" s="145"/>
      <c r="L7" s="146"/>
      <c r="M7" s="144"/>
      <c r="N7" s="145"/>
      <c r="O7" s="146"/>
      <c r="P7" s="92"/>
      <c r="Q7" s="92" t="s">
        <v>19</v>
      </c>
      <c r="R7" s="92" t="s">
        <v>20</v>
      </c>
      <c r="S7" s="92" t="s">
        <v>21</v>
      </c>
      <c r="T7" s="92" t="s">
        <v>24</v>
      </c>
      <c r="U7" s="92" t="s">
        <v>23</v>
      </c>
      <c r="V7" s="92"/>
      <c r="W7" s="92" t="s">
        <v>25</v>
      </c>
      <c r="X7" s="92"/>
      <c r="Y7" s="92"/>
      <c r="Z7" s="92"/>
      <c r="AA7" s="4"/>
      <c r="AB7" s="4"/>
      <c r="AC7" s="4"/>
      <c r="AD7" s="4"/>
      <c r="AE7" s="4"/>
      <c r="AF7" s="4"/>
    </row>
    <row r="8" spans="1:32" ht="61.5" customHeight="1" thickBot="1" x14ac:dyDescent="0.35">
      <c r="A8" s="28">
        <v>1</v>
      </c>
      <c r="B8" s="29" t="s">
        <v>149</v>
      </c>
      <c r="C8" s="35" t="s">
        <v>151</v>
      </c>
      <c r="D8" s="99" t="s">
        <v>33</v>
      </c>
      <c r="E8" s="198" t="s">
        <v>174</v>
      </c>
      <c r="F8" s="199"/>
      <c r="G8" s="44"/>
      <c r="H8" s="44"/>
      <c r="I8" s="214" t="s">
        <v>174</v>
      </c>
      <c r="J8" s="215"/>
      <c r="K8" s="215"/>
      <c r="L8" s="216"/>
      <c r="M8" s="214" t="s">
        <v>78</v>
      </c>
      <c r="N8" s="215"/>
      <c r="O8" s="216"/>
      <c r="P8" s="30" t="s">
        <v>176</v>
      </c>
      <c r="Q8" s="36">
        <v>9352.26</v>
      </c>
      <c r="R8" s="49">
        <f>Q8*0.2</f>
        <v>1870.4520000000002</v>
      </c>
      <c r="S8" s="31">
        <f t="shared" ref="S8:S24" si="0">Q8+R8</f>
        <v>11222.712</v>
      </c>
      <c r="T8" s="32"/>
      <c r="U8" s="31"/>
      <c r="V8" s="31">
        <f>Q8*0.00948</f>
        <v>88.659424800000011</v>
      </c>
      <c r="W8" s="36">
        <f t="shared" ref="W8:W24" si="1">SUM(S8:V8)</f>
        <v>11311.3714248</v>
      </c>
      <c r="X8" s="30" t="s">
        <v>175</v>
      </c>
      <c r="Y8" s="30" t="s">
        <v>177</v>
      </c>
      <c r="Z8" s="29" t="s">
        <v>81</v>
      </c>
    </row>
    <row r="9" spans="1:32" ht="50.25" customHeight="1" thickBot="1" x14ac:dyDescent="0.25">
      <c r="A9" s="28">
        <v>2</v>
      </c>
      <c r="B9" s="29" t="s">
        <v>150</v>
      </c>
      <c r="C9" s="35" t="s">
        <v>152</v>
      </c>
      <c r="D9" s="99" t="s">
        <v>33</v>
      </c>
      <c r="E9" s="214" t="s">
        <v>173</v>
      </c>
      <c r="F9" s="215"/>
      <c r="G9" s="215"/>
      <c r="H9" s="216"/>
      <c r="I9" s="214" t="s">
        <v>173</v>
      </c>
      <c r="J9" s="215"/>
      <c r="K9" s="215"/>
      <c r="L9" s="216"/>
      <c r="M9" s="214" t="s">
        <v>77</v>
      </c>
      <c r="N9" s="215"/>
      <c r="O9" s="216"/>
      <c r="P9" s="30" t="s">
        <v>178</v>
      </c>
      <c r="Q9" s="36">
        <v>15631.72</v>
      </c>
      <c r="R9" s="49">
        <f t="shared" ref="R9:R24" si="2">Q9*0.2</f>
        <v>3126.3440000000001</v>
      </c>
      <c r="S9" s="31">
        <f t="shared" si="0"/>
        <v>18758.063999999998</v>
      </c>
      <c r="T9" s="32"/>
      <c r="U9" s="31"/>
      <c r="V9" s="31">
        <f t="shared" ref="V9:V20" si="3">Q9*0.00948</f>
        <v>148.18870559999999</v>
      </c>
      <c r="W9" s="36">
        <f t="shared" si="1"/>
        <v>18906.2527056</v>
      </c>
      <c r="X9" s="30" t="s">
        <v>175</v>
      </c>
      <c r="Y9" s="30" t="s">
        <v>179</v>
      </c>
      <c r="Z9" s="29" t="s">
        <v>79</v>
      </c>
    </row>
    <row r="10" spans="1:32" ht="68.25" customHeight="1" thickBot="1" x14ac:dyDescent="0.25">
      <c r="A10" s="28">
        <v>3</v>
      </c>
      <c r="B10" s="29" t="s">
        <v>164</v>
      </c>
      <c r="C10" s="35" t="s">
        <v>153</v>
      </c>
      <c r="D10" s="99" t="s">
        <v>33</v>
      </c>
      <c r="E10" s="214" t="s">
        <v>173</v>
      </c>
      <c r="F10" s="215"/>
      <c r="G10" s="215"/>
      <c r="H10" s="216"/>
      <c r="I10" s="214" t="s">
        <v>173</v>
      </c>
      <c r="J10" s="215"/>
      <c r="K10" s="215"/>
      <c r="L10" s="216"/>
      <c r="M10" s="214" t="s">
        <v>77</v>
      </c>
      <c r="N10" s="215"/>
      <c r="O10" s="216"/>
      <c r="P10" s="30" t="s">
        <v>115</v>
      </c>
      <c r="Q10" s="36">
        <v>52491.5</v>
      </c>
      <c r="R10" s="49">
        <f t="shared" si="2"/>
        <v>10498.300000000001</v>
      </c>
      <c r="S10" s="31">
        <f t="shared" si="0"/>
        <v>62989.8</v>
      </c>
      <c r="T10" s="32"/>
      <c r="U10" s="31"/>
      <c r="V10" s="31">
        <f t="shared" si="3"/>
        <v>497.61942000000005</v>
      </c>
      <c r="W10" s="36">
        <f t="shared" si="1"/>
        <v>63487.419420000006</v>
      </c>
      <c r="X10" s="85">
        <v>45902</v>
      </c>
      <c r="Y10" s="30" t="s">
        <v>180</v>
      </c>
      <c r="Z10" s="29" t="s">
        <v>79</v>
      </c>
    </row>
    <row r="11" spans="1:32" ht="52.5" customHeight="1" thickBot="1" x14ac:dyDescent="0.35">
      <c r="A11" s="28">
        <v>4</v>
      </c>
      <c r="B11" s="29" t="s">
        <v>163</v>
      </c>
      <c r="C11" s="35" t="s">
        <v>154</v>
      </c>
      <c r="D11" s="99" t="s">
        <v>33</v>
      </c>
      <c r="E11" s="198" t="s">
        <v>181</v>
      </c>
      <c r="F11" s="199"/>
      <c r="G11" s="44"/>
      <c r="H11" s="44"/>
      <c r="I11" s="214" t="s">
        <v>181</v>
      </c>
      <c r="J11" s="215"/>
      <c r="K11" s="215"/>
      <c r="L11" s="216"/>
      <c r="M11" s="214" t="s">
        <v>83</v>
      </c>
      <c r="N11" s="215"/>
      <c r="O11" s="216"/>
      <c r="P11" s="30" t="s">
        <v>182</v>
      </c>
      <c r="Q11" s="36">
        <v>3530.1</v>
      </c>
      <c r="R11" s="49">
        <f t="shared" si="2"/>
        <v>706.02</v>
      </c>
      <c r="S11" s="31">
        <f t="shared" si="0"/>
        <v>4236.12</v>
      </c>
      <c r="T11" s="32"/>
      <c r="U11" s="31"/>
      <c r="V11" s="31">
        <f t="shared" si="3"/>
        <v>33.465347999999999</v>
      </c>
      <c r="W11" s="36">
        <f t="shared" si="1"/>
        <v>4269.5853479999996</v>
      </c>
      <c r="X11" s="30" t="s">
        <v>182</v>
      </c>
      <c r="Y11" s="30" t="s">
        <v>183</v>
      </c>
      <c r="Z11" s="29" t="s">
        <v>79</v>
      </c>
    </row>
    <row r="12" spans="1:32" ht="74.25" customHeight="1" thickBot="1" x14ac:dyDescent="0.35">
      <c r="A12" s="28">
        <v>5</v>
      </c>
      <c r="B12" s="29" t="s">
        <v>165</v>
      </c>
      <c r="C12" s="35" t="s">
        <v>155</v>
      </c>
      <c r="D12" s="99" t="s">
        <v>33</v>
      </c>
      <c r="E12" s="198" t="s">
        <v>184</v>
      </c>
      <c r="F12" s="199"/>
      <c r="G12" s="44"/>
      <c r="H12" s="44"/>
      <c r="I12" s="214" t="s">
        <v>184</v>
      </c>
      <c r="J12" s="215"/>
      <c r="K12" s="215"/>
      <c r="L12" s="216"/>
      <c r="M12" s="214" t="s">
        <v>78</v>
      </c>
      <c r="N12" s="215"/>
      <c r="O12" s="216"/>
      <c r="P12" s="30" t="s">
        <v>185</v>
      </c>
      <c r="Q12" s="36">
        <v>1385.52</v>
      </c>
      <c r="R12" s="49">
        <f t="shared" si="2"/>
        <v>277.10399999999998</v>
      </c>
      <c r="S12" s="31">
        <f t="shared" si="0"/>
        <v>1662.624</v>
      </c>
      <c r="T12" s="32"/>
      <c r="U12" s="31"/>
      <c r="V12" s="31">
        <f t="shared" si="3"/>
        <v>13.1347296</v>
      </c>
      <c r="W12" s="36">
        <f t="shared" si="1"/>
        <v>1675.7587295999999</v>
      </c>
      <c r="X12" s="30" t="s">
        <v>185</v>
      </c>
      <c r="Y12" s="30" t="s">
        <v>186</v>
      </c>
      <c r="Z12" s="29" t="s">
        <v>79</v>
      </c>
    </row>
    <row r="13" spans="1:32" ht="69.75" customHeight="1" thickBot="1" x14ac:dyDescent="0.35">
      <c r="A13" s="28">
        <v>6</v>
      </c>
      <c r="B13" s="29" t="s">
        <v>166</v>
      </c>
      <c r="C13" s="35" t="s">
        <v>156</v>
      </c>
      <c r="D13" s="99" t="s">
        <v>33</v>
      </c>
      <c r="E13" s="198" t="s">
        <v>187</v>
      </c>
      <c r="F13" s="199"/>
      <c r="G13" s="44"/>
      <c r="H13" s="44"/>
      <c r="I13" s="214" t="s">
        <v>187</v>
      </c>
      <c r="J13" s="215"/>
      <c r="K13" s="215"/>
      <c r="L13" s="216"/>
      <c r="M13" s="214" t="s">
        <v>77</v>
      </c>
      <c r="N13" s="215"/>
      <c r="O13" s="216"/>
      <c r="P13" s="30" t="s">
        <v>182</v>
      </c>
      <c r="Q13" s="36">
        <v>73091.399999999994</v>
      </c>
      <c r="R13" s="49">
        <f t="shared" si="2"/>
        <v>14618.279999999999</v>
      </c>
      <c r="S13" s="31">
        <f t="shared" si="0"/>
        <v>87709.68</v>
      </c>
      <c r="T13" s="32"/>
      <c r="U13" s="31"/>
      <c r="V13" s="31">
        <f t="shared" si="3"/>
        <v>692.90647200000001</v>
      </c>
      <c r="W13" s="36">
        <f t="shared" si="1"/>
        <v>88402.586471999995</v>
      </c>
      <c r="X13" s="30" t="s">
        <v>188</v>
      </c>
      <c r="Y13" s="30" t="s">
        <v>189</v>
      </c>
      <c r="Z13" s="29" t="s">
        <v>81</v>
      </c>
    </row>
    <row r="14" spans="1:32" ht="65.25" customHeight="1" thickBot="1" x14ac:dyDescent="0.35">
      <c r="A14" s="28">
        <v>7</v>
      </c>
      <c r="B14" s="29" t="s">
        <v>167</v>
      </c>
      <c r="C14" s="35" t="s">
        <v>157</v>
      </c>
      <c r="D14" s="99" t="s">
        <v>33</v>
      </c>
      <c r="E14" s="198" t="s">
        <v>190</v>
      </c>
      <c r="F14" s="199"/>
      <c r="G14" s="44"/>
      <c r="H14" s="44"/>
      <c r="I14" s="214" t="s">
        <v>190</v>
      </c>
      <c r="J14" s="215"/>
      <c r="K14" s="215"/>
      <c r="L14" s="216"/>
      <c r="M14" s="214" t="s">
        <v>191</v>
      </c>
      <c r="N14" s="215"/>
      <c r="O14" s="216"/>
      <c r="P14" s="30" t="s">
        <v>192</v>
      </c>
      <c r="Q14" s="36">
        <v>25534.51</v>
      </c>
      <c r="R14" s="49">
        <f t="shared" si="2"/>
        <v>5106.902</v>
      </c>
      <c r="S14" s="31">
        <f t="shared" si="0"/>
        <v>30641.411999999997</v>
      </c>
      <c r="T14" s="32"/>
      <c r="U14" s="31"/>
      <c r="V14" s="31">
        <f t="shared" si="3"/>
        <v>242.0671548</v>
      </c>
      <c r="W14" s="36">
        <f t="shared" si="1"/>
        <v>30883.479154799996</v>
      </c>
      <c r="X14" s="30" t="s">
        <v>192</v>
      </c>
      <c r="Y14" s="30" t="s">
        <v>193</v>
      </c>
      <c r="Z14" s="29" t="s">
        <v>194</v>
      </c>
    </row>
    <row r="15" spans="1:32" ht="60" customHeight="1" thickBot="1" x14ac:dyDescent="0.35">
      <c r="A15" s="28">
        <v>8</v>
      </c>
      <c r="B15" s="29" t="s">
        <v>168</v>
      </c>
      <c r="C15" s="35" t="s">
        <v>158</v>
      </c>
      <c r="D15" s="99" t="s">
        <v>33</v>
      </c>
      <c r="E15" s="198" t="s">
        <v>195</v>
      </c>
      <c r="F15" s="199"/>
      <c r="G15" s="44"/>
      <c r="H15" s="44"/>
      <c r="I15" s="214" t="s">
        <v>195</v>
      </c>
      <c r="J15" s="215"/>
      <c r="K15" s="215"/>
      <c r="L15" s="216"/>
      <c r="M15" s="214" t="s">
        <v>77</v>
      </c>
      <c r="N15" s="215"/>
      <c r="O15" s="216"/>
      <c r="P15" s="30" t="s">
        <v>196</v>
      </c>
      <c r="Q15" s="36">
        <v>8996.6200000000008</v>
      </c>
      <c r="R15" s="49">
        <f t="shared" si="2"/>
        <v>1799.3240000000003</v>
      </c>
      <c r="S15" s="31">
        <f t="shared" si="0"/>
        <v>10795.944000000001</v>
      </c>
      <c r="T15" s="32"/>
      <c r="U15" s="31"/>
      <c r="V15" s="31">
        <f t="shared" si="3"/>
        <v>85.287957600000013</v>
      </c>
      <c r="W15" s="36">
        <f t="shared" si="1"/>
        <v>10881.231957600001</v>
      </c>
      <c r="X15" s="30" t="s">
        <v>196</v>
      </c>
      <c r="Y15" s="115" t="s">
        <v>197</v>
      </c>
      <c r="Z15" s="29" t="s">
        <v>84</v>
      </c>
    </row>
    <row r="16" spans="1:32" ht="54" customHeight="1" thickBot="1" x14ac:dyDescent="0.35">
      <c r="A16" s="28">
        <v>9</v>
      </c>
      <c r="B16" s="29" t="s">
        <v>169</v>
      </c>
      <c r="C16" s="35" t="s">
        <v>159</v>
      </c>
      <c r="D16" s="99" t="s">
        <v>33</v>
      </c>
      <c r="E16" s="198" t="s">
        <v>198</v>
      </c>
      <c r="F16" s="199"/>
      <c r="G16" s="44"/>
      <c r="H16" s="44"/>
      <c r="I16" s="214" t="s">
        <v>198</v>
      </c>
      <c r="J16" s="215"/>
      <c r="K16" s="215"/>
      <c r="L16" s="216"/>
      <c r="M16" s="214" t="s">
        <v>78</v>
      </c>
      <c r="N16" s="215"/>
      <c r="O16" s="216"/>
      <c r="P16" s="30" t="s">
        <v>199</v>
      </c>
      <c r="Q16" s="36">
        <v>37178.120000000003</v>
      </c>
      <c r="R16" s="49">
        <f t="shared" si="2"/>
        <v>7435.6240000000007</v>
      </c>
      <c r="S16" s="31">
        <f t="shared" si="0"/>
        <v>44613.744000000006</v>
      </c>
      <c r="T16" s="32"/>
      <c r="U16" s="31"/>
      <c r="V16" s="31">
        <f t="shared" si="3"/>
        <v>352.44857760000002</v>
      </c>
      <c r="W16" s="36">
        <f t="shared" si="1"/>
        <v>44966.192577600006</v>
      </c>
      <c r="X16" s="30" t="s">
        <v>199</v>
      </c>
      <c r="Y16" s="30" t="s">
        <v>200</v>
      </c>
      <c r="Z16" s="29" t="s">
        <v>81</v>
      </c>
    </row>
    <row r="17" spans="1:26" ht="63.75" customHeight="1" thickBot="1" x14ac:dyDescent="0.35">
      <c r="A17" s="28">
        <v>10</v>
      </c>
      <c r="B17" s="29" t="s">
        <v>170</v>
      </c>
      <c r="C17" s="35" t="s">
        <v>160</v>
      </c>
      <c r="D17" s="115" t="s">
        <v>33</v>
      </c>
      <c r="E17" s="198" t="s">
        <v>198</v>
      </c>
      <c r="F17" s="199"/>
      <c r="G17" s="44"/>
      <c r="H17" s="44"/>
      <c r="I17" s="214" t="s">
        <v>198</v>
      </c>
      <c r="J17" s="215"/>
      <c r="K17" s="215"/>
      <c r="L17" s="216"/>
      <c r="M17" s="214" t="s">
        <v>78</v>
      </c>
      <c r="N17" s="215"/>
      <c r="O17" s="216"/>
      <c r="P17" s="30" t="s">
        <v>199</v>
      </c>
      <c r="Q17" s="36">
        <v>16395.32</v>
      </c>
      <c r="R17" s="49">
        <f t="shared" si="2"/>
        <v>3279.0640000000003</v>
      </c>
      <c r="S17" s="31">
        <f t="shared" si="0"/>
        <v>19674.383999999998</v>
      </c>
      <c r="T17" s="32"/>
      <c r="U17" s="31"/>
      <c r="V17" s="31">
        <f t="shared" si="3"/>
        <v>155.42763360000001</v>
      </c>
      <c r="W17" s="36">
        <f t="shared" si="1"/>
        <v>19829.811633599998</v>
      </c>
      <c r="X17" s="30" t="s">
        <v>199</v>
      </c>
      <c r="Y17" s="30" t="s">
        <v>201</v>
      </c>
      <c r="Z17" s="29" t="s">
        <v>81</v>
      </c>
    </row>
    <row r="18" spans="1:26" ht="60.75" customHeight="1" thickBot="1" x14ac:dyDescent="0.35">
      <c r="A18" s="28">
        <v>11</v>
      </c>
      <c r="B18" s="29" t="s">
        <v>171</v>
      </c>
      <c r="C18" s="35" t="s">
        <v>161</v>
      </c>
      <c r="D18" s="115" t="s">
        <v>33</v>
      </c>
      <c r="E18" s="198" t="s">
        <v>190</v>
      </c>
      <c r="F18" s="199"/>
      <c r="G18" s="44"/>
      <c r="H18" s="44"/>
      <c r="I18" s="214" t="s">
        <v>190</v>
      </c>
      <c r="J18" s="215"/>
      <c r="K18" s="215"/>
      <c r="L18" s="216"/>
      <c r="M18" s="214" t="s">
        <v>82</v>
      </c>
      <c r="N18" s="215"/>
      <c r="O18" s="216"/>
      <c r="P18" s="30" t="s">
        <v>199</v>
      </c>
      <c r="Q18" s="36">
        <v>3349.31</v>
      </c>
      <c r="R18" s="49">
        <f t="shared" si="2"/>
        <v>669.86200000000008</v>
      </c>
      <c r="S18" s="31">
        <f t="shared" si="0"/>
        <v>4019.172</v>
      </c>
      <c r="T18" s="32"/>
      <c r="U18" s="31"/>
      <c r="V18" s="31">
        <f t="shared" si="3"/>
        <v>31.751458800000002</v>
      </c>
      <c r="W18" s="36">
        <f t="shared" si="1"/>
        <v>4050.9234587999999</v>
      </c>
      <c r="X18" s="30" t="s">
        <v>199</v>
      </c>
      <c r="Y18" s="30" t="s">
        <v>202</v>
      </c>
      <c r="Z18" s="29" t="s">
        <v>194</v>
      </c>
    </row>
    <row r="19" spans="1:26" ht="69" customHeight="1" thickBot="1" x14ac:dyDescent="0.35">
      <c r="A19" s="28">
        <v>12</v>
      </c>
      <c r="B19" s="29" t="s">
        <v>172</v>
      </c>
      <c r="C19" s="35" t="s">
        <v>162</v>
      </c>
      <c r="D19" s="115" t="s">
        <v>33</v>
      </c>
      <c r="E19" s="198" t="s">
        <v>203</v>
      </c>
      <c r="F19" s="199"/>
      <c r="G19" s="44"/>
      <c r="H19" s="44"/>
      <c r="I19" s="214" t="s">
        <v>203</v>
      </c>
      <c r="J19" s="215"/>
      <c r="K19" s="215"/>
      <c r="L19" s="216"/>
      <c r="M19" s="214" t="s">
        <v>78</v>
      </c>
      <c r="N19" s="215"/>
      <c r="O19" s="216"/>
      <c r="P19" s="30" t="s">
        <v>204</v>
      </c>
      <c r="Q19" s="36">
        <v>16857.16</v>
      </c>
      <c r="R19" s="49">
        <f t="shared" si="2"/>
        <v>3371.4320000000002</v>
      </c>
      <c r="S19" s="31">
        <f t="shared" si="0"/>
        <v>20228.592000000001</v>
      </c>
      <c r="T19" s="32"/>
      <c r="U19" s="31"/>
      <c r="V19" s="31">
        <f t="shared" si="3"/>
        <v>159.80587680000002</v>
      </c>
      <c r="W19" s="36">
        <f t="shared" si="1"/>
        <v>20388.397876800002</v>
      </c>
      <c r="X19" s="30" t="s">
        <v>205</v>
      </c>
      <c r="Y19" s="30" t="s">
        <v>206</v>
      </c>
      <c r="Z19" s="29" t="s">
        <v>89</v>
      </c>
    </row>
    <row r="20" spans="1:26" ht="61.5" customHeight="1" thickBot="1" x14ac:dyDescent="0.35">
      <c r="A20" s="28"/>
      <c r="B20" s="29"/>
      <c r="C20" s="35"/>
      <c r="D20" s="115"/>
      <c r="E20" s="198"/>
      <c r="F20" s="199"/>
      <c r="G20" s="44"/>
      <c r="H20" s="44"/>
      <c r="I20" s="214"/>
      <c r="J20" s="215"/>
      <c r="K20" s="215"/>
      <c r="L20" s="216"/>
      <c r="M20" s="214"/>
      <c r="N20" s="215"/>
      <c r="O20" s="216"/>
      <c r="P20" s="30"/>
      <c r="Q20" s="36"/>
      <c r="R20" s="49">
        <f t="shared" si="2"/>
        <v>0</v>
      </c>
      <c r="S20" s="31">
        <f t="shared" si="0"/>
        <v>0</v>
      </c>
      <c r="T20" s="32"/>
      <c r="U20" s="31"/>
      <c r="V20" s="31">
        <f t="shared" si="3"/>
        <v>0</v>
      </c>
      <c r="W20" s="36">
        <f t="shared" si="1"/>
        <v>0</v>
      </c>
      <c r="X20" s="30"/>
      <c r="Y20" s="30"/>
      <c r="Z20" s="29"/>
    </row>
    <row r="21" spans="1:26" ht="26.25" hidden="1" customHeight="1" thickBot="1" x14ac:dyDescent="0.35">
      <c r="A21" s="28">
        <v>21</v>
      </c>
      <c r="B21" s="29"/>
      <c r="C21" s="35"/>
      <c r="D21" s="99"/>
      <c r="E21" s="94"/>
      <c r="F21" s="95"/>
      <c r="G21" s="44"/>
      <c r="H21" s="44"/>
      <c r="I21" s="96"/>
      <c r="J21" s="97"/>
      <c r="K21" s="97"/>
      <c r="L21" s="98"/>
      <c r="M21" s="96"/>
      <c r="N21" s="97"/>
      <c r="O21" s="98"/>
      <c r="P21" s="30"/>
      <c r="Q21" s="36"/>
      <c r="R21" s="49">
        <f t="shared" si="2"/>
        <v>0</v>
      </c>
      <c r="S21" s="31">
        <f t="shared" si="0"/>
        <v>0</v>
      </c>
      <c r="T21" s="32"/>
      <c r="U21" s="31"/>
      <c r="V21" s="31"/>
      <c r="W21" s="36">
        <f t="shared" si="1"/>
        <v>0</v>
      </c>
      <c r="X21" s="30"/>
      <c r="Y21" s="30"/>
      <c r="Z21" s="29"/>
    </row>
    <row r="22" spans="1:26" ht="26.25" hidden="1" customHeight="1" thickBot="1" x14ac:dyDescent="0.35">
      <c r="A22" s="28">
        <v>23</v>
      </c>
      <c r="B22" s="29"/>
      <c r="C22" s="35"/>
      <c r="D22" s="99"/>
      <c r="E22" s="94"/>
      <c r="F22" s="95"/>
      <c r="G22" s="44"/>
      <c r="H22" s="44"/>
      <c r="I22" s="96"/>
      <c r="J22" s="97"/>
      <c r="K22" s="97"/>
      <c r="L22" s="98"/>
      <c r="M22" s="96"/>
      <c r="N22" s="97"/>
      <c r="O22" s="98"/>
      <c r="P22" s="30"/>
      <c r="Q22" s="36"/>
      <c r="R22" s="49">
        <f t="shared" si="2"/>
        <v>0</v>
      </c>
      <c r="S22" s="31">
        <f t="shared" si="0"/>
        <v>0</v>
      </c>
      <c r="T22" s="32"/>
      <c r="U22" s="31"/>
      <c r="V22" s="31"/>
      <c r="W22" s="36">
        <f t="shared" si="1"/>
        <v>0</v>
      </c>
      <c r="X22" s="30"/>
      <c r="Y22" s="30"/>
      <c r="Z22" s="29"/>
    </row>
    <row r="23" spans="1:26" ht="26.25" hidden="1" customHeight="1" thickBot="1" x14ac:dyDescent="0.35">
      <c r="A23" s="28">
        <v>24</v>
      </c>
      <c r="B23" s="29"/>
      <c r="C23" s="35"/>
      <c r="D23" s="99"/>
      <c r="E23" s="94"/>
      <c r="F23" s="95"/>
      <c r="G23" s="44"/>
      <c r="H23" s="44"/>
      <c r="I23" s="96"/>
      <c r="J23" s="97"/>
      <c r="K23" s="97"/>
      <c r="L23" s="98"/>
      <c r="M23" s="96"/>
      <c r="N23" s="97"/>
      <c r="O23" s="98"/>
      <c r="P23" s="30"/>
      <c r="Q23" s="36"/>
      <c r="R23" s="49">
        <f t="shared" si="2"/>
        <v>0</v>
      </c>
      <c r="S23" s="31">
        <f t="shared" si="0"/>
        <v>0</v>
      </c>
      <c r="T23" s="32"/>
      <c r="U23" s="31"/>
      <c r="V23" s="31"/>
      <c r="W23" s="36">
        <f t="shared" si="1"/>
        <v>0</v>
      </c>
      <c r="X23" s="30"/>
      <c r="Y23" s="30"/>
      <c r="Z23" s="29"/>
    </row>
    <row r="24" spans="1:26" ht="26.25" hidden="1" customHeight="1" thickBot="1" x14ac:dyDescent="0.35">
      <c r="A24" s="28">
        <v>25</v>
      </c>
      <c r="B24" s="29"/>
      <c r="C24" s="35"/>
      <c r="D24" s="99"/>
      <c r="E24" s="94"/>
      <c r="F24" s="95"/>
      <c r="G24" s="44"/>
      <c r="H24" s="44"/>
      <c r="I24" s="96"/>
      <c r="J24" s="97"/>
      <c r="K24" s="97"/>
      <c r="L24" s="98"/>
      <c r="M24" s="96"/>
      <c r="N24" s="97"/>
      <c r="O24" s="98"/>
      <c r="P24" s="30"/>
      <c r="Q24" s="36"/>
      <c r="R24" s="49">
        <f t="shared" si="2"/>
        <v>0</v>
      </c>
      <c r="S24" s="31">
        <f t="shared" si="0"/>
        <v>0</v>
      </c>
      <c r="T24" s="32"/>
      <c r="U24" s="31"/>
      <c r="V24" s="31"/>
      <c r="W24" s="36">
        <f t="shared" si="1"/>
        <v>0</v>
      </c>
      <c r="X24" s="30"/>
      <c r="Y24" s="30"/>
      <c r="Z24" s="29"/>
    </row>
    <row r="25" spans="1:26" ht="79.5" customHeight="1" thickBot="1" x14ac:dyDescent="0.25">
      <c r="A25" s="195" t="s">
        <v>6</v>
      </c>
      <c r="B25" s="196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7"/>
      <c r="Q25" s="36">
        <f>SUM(Q8:Q24)</f>
        <v>263793.53999999998</v>
      </c>
      <c r="R25" s="31">
        <f>SUM(R8:R24)</f>
        <v>52758.708000000006</v>
      </c>
      <c r="S25" s="31">
        <f>SUM(S8:S24)</f>
        <v>316552.24800000002</v>
      </c>
      <c r="T25" s="33" t="s">
        <v>30</v>
      </c>
      <c r="U25" s="31"/>
      <c r="V25" s="31">
        <f>SUM(V8:V24)</f>
        <v>2500.7627591999999</v>
      </c>
      <c r="W25" s="36">
        <f>SUM(W8:W24)</f>
        <v>319053.01075919997</v>
      </c>
      <c r="X25" s="32"/>
      <c r="Y25" s="30"/>
      <c r="Z25" s="34"/>
    </row>
    <row r="26" spans="1:26" ht="51" customHeight="1" thickBot="1" x14ac:dyDescent="0.4">
      <c r="A26" s="183" t="s">
        <v>28</v>
      </c>
      <c r="B26" s="184"/>
      <c r="C26" s="184"/>
      <c r="D26" s="184"/>
      <c r="E26" s="184"/>
      <c r="F26" s="184"/>
      <c r="G26" s="184"/>
      <c r="H26" s="184"/>
      <c r="I26" s="184"/>
      <c r="J26" s="184"/>
      <c r="K26" s="184"/>
      <c r="L26" s="184"/>
      <c r="M26" s="184"/>
      <c r="N26" s="184"/>
      <c r="O26" s="184"/>
      <c r="P26" s="184"/>
      <c r="Q26" s="184"/>
      <c r="R26" s="184"/>
      <c r="S26" s="185"/>
      <c r="T26" s="189" t="s">
        <v>11</v>
      </c>
      <c r="U26" s="190"/>
      <c r="V26" s="191"/>
      <c r="W26" s="192" t="s">
        <v>73</v>
      </c>
      <c r="X26" s="193"/>
      <c r="Y26" s="193"/>
      <c r="Z26" s="194"/>
    </row>
    <row r="27" spans="1:26" ht="56.25" customHeight="1" thickBot="1" x14ac:dyDescent="0.4">
      <c r="A27" s="183" t="s">
        <v>29</v>
      </c>
      <c r="B27" s="184"/>
      <c r="C27" s="184"/>
      <c r="D27" s="184"/>
      <c r="E27" s="184"/>
      <c r="F27" s="184"/>
      <c r="G27" s="184"/>
      <c r="H27" s="184"/>
      <c r="I27" s="184"/>
      <c r="J27" s="184"/>
      <c r="K27" s="184"/>
      <c r="L27" s="184"/>
      <c r="M27" s="184"/>
      <c r="N27" s="184"/>
      <c r="O27" s="184"/>
      <c r="P27" s="184"/>
      <c r="Q27" s="184"/>
      <c r="R27" s="184"/>
      <c r="S27" s="185"/>
      <c r="T27" s="189" t="s">
        <v>12</v>
      </c>
      <c r="U27" s="190"/>
      <c r="V27" s="191"/>
      <c r="W27" s="192" t="s">
        <v>104</v>
      </c>
      <c r="X27" s="193"/>
      <c r="Y27" s="193"/>
      <c r="Z27" s="194"/>
    </row>
    <row r="28" spans="1:26" ht="39" customHeight="1" thickBot="1" x14ac:dyDescent="0.4">
      <c r="A28" s="180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2"/>
      <c r="T28" s="189" t="s">
        <v>13</v>
      </c>
      <c r="U28" s="190"/>
      <c r="V28" s="191"/>
      <c r="W28" s="192" t="s">
        <v>32</v>
      </c>
      <c r="X28" s="193"/>
      <c r="Y28" s="193"/>
      <c r="Z28" s="194"/>
    </row>
    <row r="29" spans="1:26" ht="57.75" customHeight="1" thickBot="1" x14ac:dyDescent="0.45">
      <c r="A29" s="177"/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s="178"/>
      <c r="N29" s="178"/>
      <c r="O29" s="178"/>
      <c r="P29" s="178"/>
      <c r="Q29" s="178"/>
      <c r="R29" s="178"/>
      <c r="S29" s="179"/>
      <c r="T29" s="189" t="s">
        <v>14</v>
      </c>
      <c r="U29" s="190"/>
      <c r="V29" s="191"/>
      <c r="W29" s="186"/>
      <c r="X29" s="187"/>
      <c r="Y29" s="187"/>
      <c r="Z29" s="188"/>
    </row>
    <row r="30" spans="1:26" ht="38.25" customHeight="1" x14ac:dyDescent="0.2">
      <c r="C30" s="2"/>
    </row>
    <row r="31" spans="1:26" ht="38.25" customHeight="1" x14ac:dyDescent="0.2"/>
    <row r="32" spans="1:26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</sheetData>
  <autoFilter ref="A5:Z20" xr:uid="{00000000-0009-0000-0000-000008000000}">
    <filterColumn colId="4" showButton="0"/>
    <filterColumn colId="5" showButton="0"/>
    <filterColumn colId="6" showButton="0"/>
    <filterColumn colId="8" showButton="0"/>
    <filterColumn colId="9" showButton="0"/>
    <filterColumn colId="10" showButton="0"/>
    <filterColumn colId="12" showButton="0"/>
    <filterColumn colId="13" showButton="0"/>
  </autoFilter>
  <mergeCells count="75">
    <mergeCell ref="I20:L20"/>
    <mergeCell ref="M20:O20"/>
    <mergeCell ref="E20:F20"/>
    <mergeCell ref="E17:F17"/>
    <mergeCell ref="I17:L17"/>
    <mergeCell ref="E18:F18"/>
    <mergeCell ref="I18:L18"/>
    <mergeCell ref="M17:O17"/>
    <mergeCell ref="M18:O18"/>
    <mergeCell ref="M19:O19"/>
    <mergeCell ref="I19:L19"/>
    <mergeCell ref="E19:F19"/>
    <mergeCell ref="E15:F15"/>
    <mergeCell ref="I15:L15"/>
    <mergeCell ref="M15:O15"/>
    <mergeCell ref="E16:F16"/>
    <mergeCell ref="I16:L16"/>
    <mergeCell ref="M16:O16"/>
    <mergeCell ref="A29:S29"/>
    <mergeCell ref="T29:V29"/>
    <mergeCell ref="W29:Z29"/>
    <mergeCell ref="A27:S27"/>
    <mergeCell ref="T27:V27"/>
    <mergeCell ref="W27:Z27"/>
    <mergeCell ref="A28:S28"/>
    <mergeCell ref="T28:V28"/>
    <mergeCell ref="W28:Z28"/>
    <mergeCell ref="A25:P25"/>
    <mergeCell ref="A26:S26"/>
    <mergeCell ref="T26:V26"/>
    <mergeCell ref="W26:Z26"/>
    <mergeCell ref="T5:T6"/>
    <mergeCell ref="U5:U6"/>
    <mergeCell ref="V5:V6"/>
    <mergeCell ref="E13:F13"/>
    <mergeCell ref="E8:F8"/>
    <mergeCell ref="M8:O8"/>
    <mergeCell ref="P5:P6"/>
    <mergeCell ref="I7:L7"/>
    <mergeCell ref="M7:O7"/>
    <mergeCell ref="E7:F7"/>
    <mergeCell ref="I8:L8"/>
    <mergeCell ref="E10:H10"/>
    <mergeCell ref="A1:Z1"/>
    <mergeCell ref="A2:Z4"/>
    <mergeCell ref="A5:A6"/>
    <mergeCell ref="B5:B6"/>
    <mergeCell ref="C5:C6"/>
    <mergeCell ref="D5:D6"/>
    <mergeCell ref="E5:H6"/>
    <mergeCell ref="W5:W6"/>
    <mergeCell ref="X5:X6"/>
    <mergeCell ref="Y5:Y6"/>
    <mergeCell ref="Z5:Z6"/>
    <mergeCell ref="S5:S6"/>
    <mergeCell ref="Q5:Q6"/>
    <mergeCell ref="R5:R6"/>
    <mergeCell ref="I5:L6"/>
    <mergeCell ref="M5:O6"/>
    <mergeCell ref="E14:F14"/>
    <mergeCell ref="I14:L14"/>
    <mergeCell ref="M14:O14"/>
    <mergeCell ref="E9:H9"/>
    <mergeCell ref="I9:L9"/>
    <mergeCell ref="M9:O9"/>
    <mergeCell ref="I10:L10"/>
    <mergeCell ref="M10:O10"/>
    <mergeCell ref="E11:F11"/>
    <mergeCell ref="I11:L11"/>
    <mergeCell ref="M11:O11"/>
    <mergeCell ref="E12:F12"/>
    <mergeCell ref="I12:L12"/>
    <mergeCell ref="M12:O12"/>
    <mergeCell ref="I13:L13"/>
    <mergeCell ref="M13:O13"/>
  </mergeCells>
  <phoneticPr fontId="26" type="noConversion"/>
  <pageMargins left="0.9055118110236221" right="0.15748031496062992" top="0.43307086614173229" bottom="0" header="0.15748031496062992" footer="0.15748031496062992"/>
  <pageSetup paperSize="9" scale="37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38"/>
  <sheetViews>
    <sheetView topLeftCell="A7" zoomScale="50" zoomScaleNormal="50" workbookViewId="0">
      <selection activeCell="E24" sqref="E24:F24"/>
    </sheetView>
  </sheetViews>
  <sheetFormatPr defaultRowHeight="12.75" x14ac:dyDescent="0.2"/>
  <cols>
    <col min="1" max="1" width="7.5703125" customWidth="1"/>
    <col min="2" max="2" width="15.140625" style="1" customWidth="1"/>
    <col min="3" max="3" width="10.42578125" style="1" customWidth="1"/>
    <col min="4" max="4" width="9.28515625" style="1" customWidth="1"/>
    <col min="5" max="5" width="17.7109375" style="1" customWidth="1"/>
    <col min="6" max="6" width="23.28515625" style="1" customWidth="1"/>
    <col min="7" max="7" width="8.5703125" style="1" hidden="1" customWidth="1"/>
    <col min="8" max="8" width="10.28515625" style="1" hidden="1" customWidth="1"/>
    <col min="9" max="9" width="5.140625" style="1" customWidth="1"/>
    <col min="10" max="10" width="5.5703125" style="1" customWidth="1"/>
    <col min="11" max="11" width="5" style="1" customWidth="1"/>
    <col min="12" max="12" width="11.7109375" style="1" customWidth="1"/>
    <col min="13" max="13" width="8.42578125" style="1" customWidth="1"/>
    <col min="14" max="14" width="8" style="1" customWidth="1"/>
    <col min="15" max="15" width="10.28515625" style="1" customWidth="1"/>
    <col min="16" max="16" width="20" style="1" customWidth="1"/>
    <col min="17" max="17" width="19.5703125" style="1" bestFit="1" customWidth="1"/>
    <col min="18" max="18" width="19.28515625" style="1" customWidth="1"/>
    <col min="19" max="19" width="22.85546875" style="1" customWidth="1"/>
    <col min="20" max="20" width="17.28515625" style="1" customWidth="1"/>
    <col min="21" max="21" width="17.42578125" style="1" customWidth="1"/>
    <col min="22" max="22" width="16.140625" style="1" customWidth="1"/>
    <col min="23" max="23" width="19" style="1" customWidth="1"/>
    <col min="24" max="24" width="24" style="1" customWidth="1"/>
    <col min="25" max="25" width="22.7109375" style="1" customWidth="1"/>
    <col min="26" max="26" width="31.5703125" style="1" customWidth="1"/>
  </cols>
  <sheetData>
    <row r="1" spans="1:32" ht="43.5" customHeight="1" x14ac:dyDescent="0.4">
      <c r="A1" s="134" t="s">
        <v>10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6"/>
    </row>
    <row r="2" spans="1:32" ht="37.5" customHeight="1" x14ac:dyDescent="0.2">
      <c r="A2" s="137" t="s">
        <v>207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9"/>
    </row>
    <row r="3" spans="1:32" ht="30" customHeight="1" x14ac:dyDescent="0.2">
      <c r="A3" s="137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9"/>
    </row>
    <row r="4" spans="1:32" ht="36" customHeight="1" thickBot="1" x14ac:dyDescent="0.25">
      <c r="A4" s="137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9"/>
    </row>
    <row r="5" spans="1:32" s="3" customFormat="1" ht="68.25" customHeight="1" x14ac:dyDescent="0.3">
      <c r="A5" s="217" t="s">
        <v>9</v>
      </c>
      <c r="B5" s="200" t="s">
        <v>1</v>
      </c>
      <c r="C5" s="200" t="s">
        <v>2</v>
      </c>
      <c r="D5" s="200" t="s">
        <v>15</v>
      </c>
      <c r="E5" s="202" t="s">
        <v>5</v>
      </c>
      <c r="F5" s="203"/>
      <c r="G5" s="203"/>
      <c r="H5" s="204"/>
      <c r="I5" s="208" t="s">
        <v>16</v>
      </c>
      <c r="J5" s="209"/>
      <c r="K5" s="209"/>
      <c r="L5" s="210"/>
      <c r="M5" s="208" t="s">
        <v>3</v>
      </c>
      <c r="N5" s="209"/>
      <c r="O5" s="210"/>
      <c r="P5" s="200" t="s">
        <v>17</v>
      </c>
      <c r="Q5" s="200" t="s">
        <v>22</v>
      </c>
      <c r="R5" s="200" t="s">
        <v>75</v>
      </c>
      <c r="S5" s="200" t="s">
        <v>26</v>
      </c>
      <c r="T5" s="200" t="s">
        <v>27</v>
      </c>
      <c r="U5" s="200" t="s">
        <v>31</v>
      </c>
      <c r="V5" s="200" t="s">
        <v>18</v>
      </c>
      <c r="W5" s="200" t="s">
        <v>0</v>
      </c>
      <c r="X5" s="200" t="s">
        <v>8</v>
      </c>
      <c r="Y5" s="200" t="s">
        <v>7</v>
      </c>
      <c r="Z5" s="200" t="s">
        <v>4</v>
      </c>
    </row>
    <row r="6" spans="1:32" s="3" customFormat="1" ht="26.25" customHeight="1" thickBot="1" x14ac:dyDescent="0.35">
      <c r="A6" s="218"/>
      <c r="B6" s="201"/>
      <c r="C6" s="201"/>
      <c r="D6" s="201"/>
      <c r="E6" s="205"/>
      <c r="F6" s="206"/>
      <c r="G6" s="206"/>
      <c r="H6" s="207"/>
      <c r="I6" s="211"/>
      <c r="J6" s="212"/>
      <c r="K6" s="212"/>
      <c r="L6" s="213"/>
      <c r="M6" s="211"/>
      <c r="N6" s="212"/>
      <c r="O6" s="213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1"/>
      <c r="AA6" s="4"/>
      <c r="AB6" s="4"/>
      <c r="AC6" s="4"/>
      <c r="AD6" s="4"/>
      <c r="AE6" s="4"/>
      <c r="AF6" s="4"/>
    </row>
    <row r="7" spans="1:32" s="3" customFormat="1" ht="27.75" customHeight="1" thickBot="1" x14ac:dyDescent="0.35">
      <c r="A7" s="86"/>
      <c r="B7" s="92"/>
      <c r="C7" s="92"/>
      <c r="D7" s="92"/>
      <c r="E7" s="147"/>
      <c r="F7" s="148"/>
      <c r="G7" s="93"/>
      <c r="H7" s="93"/>
      <c r="I7" s="144"/>
      <c r="J7" s="145"/>
      <c r="K7" s="145"/>
      <c r="L7" s="146"/>
      <c r="M7" s="144"/>
      <c r="N7" s="145"/>
      <c r="O7" s="146"/>
      <c r="P7" s="92"/>
      <c r="Q7" s="92" t="s">
        <v>19</v>
      </c>
      <c r="R7" s="92" t="s">
        <v>20</v>
      </c>
      <c r="S7" s="92" t="s">
        <v>21</v>
      </c>
      <c r="T7" s="92" t="s">
        <v>24</v>
      </c>
      <c r="U7" s="92" t="s">
        <v>23</v>
      </c>
      <c r="V7" s="92"/>
      <c r="W7" s="92" t="s">
        <v>25</v>
      </c>
      <c r="X7" s="92"/>
      <c r="Y7" s="92"/>
      <c r="Z7" s="92"/>
      <c r="AA7" s="4"/>
      <c r="AB7" s="4"/>
      <c r="AC7" s="4"/>
      <c r="AD7" s="4"/>
      <c r="AE7" s="4"/>
      <c r="AF7" s="4"/>
    </row>
    <row r="8" spans="1:32" ht="59.25" customHeight="1" thickBot="1" x14ac:dyDescent="0.35">
      <c r="A8" s="28">
        <v>1</v>
      </c>
      <c r="B8" s="29" t="s">
        <v>208</v>
      </c>
      <c r="C8" s="35" t="s">
        <v>221</v>
      </c>
      <c r="D8" s="99" t="s">
        <v>33</v>
      </c>
      <c r="E8" s="198" t="s">
        <v>237</v>
      </c>
      <c r="F8" s="199"/>
      <c r="G8" s="44"/>
      <c r="H8" s="44"/>
      <c r="I8" s="214" t="s">
        <v>237</v>
      </c>
      <c r="J8" s="215"/>
      <c r="K8" s="215"/>
      <c r="L8" s="216"/>
      <c r="M8" s="214" t="s">
        <v>78</v>
      </c>
      <c r="N8" s="215"/>
      <c r="O8" s="216"/>
      <c r="P8" s="30" t="s">
        <v>238</v>
      </c>
      <c r="Q8" s="55">
        <v>6812.14</v>
      </c>
      <c r="R8" s="79">
        <f>Q8*0.2</f>
        <v>1362.4280000000001</v>
      </c>
      <c r="S8" s="32">
        <f t="shared" ref="S8:S25" si="0">Q8+R8</f>
        <v>8174.5680000000002</v>
      </c>
      <c r="T8" s="32"/>
      <c r="U8" s="32"/>
      <c r="V8" s="32">
        <f>Q8*0.00948</f>
        <v>64.579087200000004</v>
      </c>
      <c r="W8" s="55">
        <f t="shared" ref="W8:W25" si="1">SUM(S8:V8)</f>
        <v>8239.1470872000009</v>
      </c>
      <c r="X8" s="37">
        <v>45936</v>
      </c>
      <c r="Y8" s="30" t="s">
        <v>239</v>
      </c>
      <c r="Z8" s="29" t="s">
        <v>81</v>
      </c>
    </row>
    <row r="9" spans="1:32" ht="51" customHeight="1" thickBot="1" x14ac:dyDescent="0.25">
      <c r="A9" s="28">
        <v>2</v>
      </c>
      <c r="B9" s="29" t="s">
        <v>209</v>
      </c>
      <c r="C9" s="35" t="s">
        <v>222</v>
      </c>
      <c r="D9" s="99" t="s">
        <v>33</v>
      </c>
      <c r="E9" s="214" t="s">
        <v>240</v>
      </c>
      <c r="F9" s="215"/>
      <c r="G9" s="215"/>
      <c r="H9" s="216"/>
      <c r="I9" s="214" t="s">
        <v>240</v>
      </c>
      <c r="J9" s="215"/>
      <c r="K9" s="215"/>
      <c r="L9" s="216"/>
      <c r="M9" s="214" t="s">
        <v>78</v>
      </c>
      <c r="N9" s="215"/>
      <c r="O9" s="216"/>
      <c r="P9" s="30" t="s">
        <v>182</v>
      </c>
      <c r="Q9" s="55">
        <v>4399.26</v>
      </c>
      <c r="R9" s="79">
        <f t="shared" ref="R9:R23" si="2">Q9*0.2</f>
        <v>879.85200000000009</v>
      </c>
      <c r="S9" s="32">
        <f t="shared" si="0"/>
        <v>5279.1120000000001</v>
      </c>
      <c r="T9" s="32"/>
      <c r="U9" s="32"/>
      <c r="V9" s="32">
        <f t="shared" ref="V9:V25" si="3">Q9*0.00948</f>
        <v>41.704984800000005</v>
      </c>
      <c r="W9" s="55">
        <f t="shared" si="1"/>
        <v>5320.8169847999998</v>
      </c>
      <c r="X9" s="30" t="s">
        <v>241</v>
      </c>
      <c r="Y9" s="30" t="s">
        <v>242</v>
      </c>
      <c r="Z9" s="29" t="s">
        <v>79</v>
      </c>
    </row>
    <row r="10" spans="1:32" ht="57" customHeight="1" thickBot="1" x14ac:dyDescent="0.25">
      <c r="A10" s="28">
        <v>3</v>
      </c>
      <c r="B10" s="29" t="s">
        <v>210</v>
      </c>
      <c r="C10" s="35" t="s">
        <v>223</v>
      </c>
      <c r="D10" s="99" t="s">
        <v>33</v>
      </c>
      <c r="E10" s="214" t="s">
        <v>243</v>
      </c>
      <c r="F10" s="215"/>
      <c r="G10" s="215"/>
      <c r="H10" s="216"/>
      <c r="I10" s="214" t="s">
        <v>243</v>
      </c>
      <c r="J10" s="215"/>
      <c r="K10" s="215"/>
      <c r="L10" s="216"/>
      <c r="M10" s="214" t="s">
        <v>78</v>
      </c>
      <c r="N10" s="215"/>
      <c r="O10" s="216"/>
      <c r="P10" s="30" t="s">
        <v>241</v>
      </c>
      <c r="Q10" s="55">
        <v>13855.2</v>
      </c>
      <c r="R10" s="79">
        <f t="shared" si="2"/>
        <v>2771.0400000000004</v>
      </c>
      <c r="S10" s="32">
        <f t="shared" si="0"/>
        <v>16626.240000000002</v>
      </c>
      <c r="T10" s="32"/>
      <c r="U10" s="32"/>
      <c r="V10" s="32">
        <f t="shared" si="3"/>
        <v>131.34729600000003</v>
      </c>
      <c r="W10" s="55">
        <f t="shared" si="1"/>
        <v>16757.587296000002</v>
      </c>
      <c r="X10" s="118" t="s">
        <v>241</v>
      </c>
      <c r="Y10" s="30" t="s">
        <v>244</v>
      </c>
      <c r="Z10" s="29" t="s">
        <v>76</v>
      </c>
    </row>
    <row r="11" spans="1:32" ht="51.75" customHeight="1" thickBot="1" x14ac:dyDescent="0.35">
      <c r="A11" s="28">
        <v>4</v>
      </c>
      <c r="B11" s="29" t="s">
        <v>211</v>
      </c>
      <c r="C11" s="35" t="s">
        <v>224</v>
      </c>
      <c r="D11" s="99" t="s">
        <v>33</v>
      </c>
      <c r="E11" s="198" t="s">
        <v>243</v>
      </c>
      <c r="F11" s="199"/>
      <c r="G11" s="44"/>
      <c r="H11" s="44"/>
      <c r="I11" s="214" t="s">
        <v>243</v>
      </c>
      <c r="J11" s="215"/>
      <c r="K11" s="215"/>
      <c r="L11" s="216"/>
      <c r="M11" s="214" t="s">
        <v>78</v>
      </c>
      <c r="N11" s="215"/>
      <c r="O11" s="216"/>
      <c r="P11" s="30" t="s">
        <v>241</v>
      </c>
      <c r="Q11" s="55">
        <v>3463.8</v>
      </c>
      <c r="R11" s="79">
        <f t="shared" si="2"/>
        <v>692.7600000000001</v>
      </c>
      <c r="S11" s="32">
        <f t="shared" si="0"/>
        <v>4156.5600000000004</v>
      </c>
      <c r="T11" s="32"/>
      <c r="U11" s="32"/>
      <c r="V11" s="32">
        <f t="shared" si="3"/>
        <v>32.836824000000007</v>
      </c>
      <c r="W11" s="55">
        <f t="shared" si="1"/>
        <v>4189.3968240000004</v>
      </c>
      <c r="X11" s="30" t="s">
        <v>241</v>
      </c>
      <c r="Y11" s="30" t="s">
        <v>245</v>
      </c>
      <c r="Z11" s="29" t="s">
        <v>76</v>
      </c>
    </row>
    <row r="12" spans="1:32" ht="52.5" customHeight="1" thickBot="1" x14ac:dyDescent="0.35">
      <c r="A12" s="28">
        <v>5</v>
      </c>
      <c r="B12" s="29" t="s">
        <v>212</v>
      </c>
      <c r="C12" s="35" t="s">
        <v>225</v>
      </c>
      <c r="D12" s="99" t="s">
        <v>33</v>
      </c>
      <c r="E12" s="198" t="s">
        <v>246</v>
      </c>
      <c r="F12" s="199"/>
      <c r="G12" s="44"/>
      <c r="H12" s="44"/>
      <c r="I12" s="214" t="s">
        <v>246</v>
      </c>
      <c r="J12" s="215"/>
      <c r="K12" s="215"/>
      <c r="L12" s="216"/>
      <c r="M12" s="214" t="s">
        <v>77</v>
      </c>
      <c r="N12" s="215"/>
      <c r="O12" s="216"/>
      <c r="P12" s="30" t="s">
        <v>247</v>
      </c>
      <c r="Q12" s="55">
        <v>12796.85</v>
      </c>
      <c r="R12" s="79">
        <f t="shared" si="2"/>
        <v>2559.3700000000003</v>
      </c>
      <c r="S12" s="32">
        <f t="shared" si="0"/>
        <v>15356.220000000001</v>
      </c>
      <c r="T12" s="32"/>
      <c r="U12" s="32"/>
      <c r="V12" s="32">
        <f t="shared" si="3"/>
        <v>121.31413800000001</v>
      </c>
      <c r="W12" s="55">
        <f t="shared" si="1"/>
        <v>15477.534138000001</v>
      </c>
      <c r="X12" s="30" t="s">
        <v>248</v>
      </c>
      <c r="Y12" s="30" t="s">
        <v>249</v>
      </c>
      <c r="Z12" s="29" t="s">
        <v>81</v>
      </c>
    </row>
    <row r="13" spans="1:32" ht="51.75" customHeight="1" thickBot="1" x14ac:dyDescent="0.35">
      <c r="A13" s="28">
        <v>6</v>
      </c>
      <c r="B13" s="29" t="s">
        <v>213</v>
      </c>
      <c r="C13" s="35" t="s">
        <v>226</v>
      </c>
      <c r="D13" s="99" t="s">
        <v>33</v>
      </c>
      <c r="E13" s="198" t="s">
        <v>91</v>
      </c>
      <c r="F13" s="199"/>
      <c r="G13" s="44"/>
      <c r="H13" s="44"/>
      <c r="I13" s="214" t="s">
        <v>91</v>
      </c>
      <c r="J13" s="215"/>
      <c r="K13" s="215"/>
      <c r="L13" s="216"/>
      <c r="M13" s="214" t="s">
        <v>82</v>
      </c>
      <c r="N13" s="215"/>
      <c r="O13" s="216"/>
      <c r="P13" s="30" t="s">
        <v>204</v>
      </c>
      <c r="Q13" s="55">
        <v>97188.64</v>
      </c>
      <c r="R13" s="79">
        <f t="shared" si="2"/>
        <v>19437.727999999999</v>
      </c>
      <c r="S13" s="32">
        <f t="shared" si="0"/>
        <v>116626.368</v>
      </c>
      <c r="T13" s="32"/>
      <c r="U13" s="32"/>
      <c r="V13" s="32">
        <f t="shared" si="3"/>
        <v>921.34830720000002</v>
      </c>
      <c r="W13" s="55">
        <f t="shared" si="1"/>
        <v>117547.7163072</v>
      </c>
      <c r="X13" s="30" t="s">
        <v>250</v>
      </c>
      <c r="Y13" s="30" t="s">
        <v>251</v>
      </c>
      <c r="Z13" s="29" t="s">
        <v>81</v>
      </c>
    </row>
    <row r="14" spans="1:32" ht="65.25" customHeight="1" thickBot="1" x14ac:dyDescent="0.35">
      <c r="A14" s="28">
        <v>7</v>
      </c>
      <c r="B14" s="29" t="s">
        <v>214</v>
      </c>
      <c r="C14" s="35" t="s">
        <v>227</v>
      </c>
      <c r="D14" s="99" t="s">
        <v>33</v>
      </c>
      <c r="E14" s="198" t="s">
        <v>252</v>
      </c>
      <c r="F14" s="199"/>
      <c r="G14" s="44"/>
      <c r="H14" s="44"/>
      <c r="I14" s="214" t="s">
        <v>252</v>
      </c>
      <c r="J14" s="215"/>
      <c r="K14" s="215"/>
      <c r="L14" s="216"/>
      <c r="M14" s="214" t="s">
        <v>82</v>
      </c>
      <c r="N14" s="215"/>
      <c r="O14" s="216"/>
      <c r="P14" s="30" t="s">
        <v>253</v>
      </c>
      <c r="Q14" s="55">
        <v>5470.77</v>
      </c>
      <c r="R14" s="79">
        <f t="shared" si="2"/>
        <v>1094.1540000000002</v>
      </c>
      <c r="S14" s="32">
        <f t="shared" si="0"/>
        <v>6564.9240000000009</v>
      </c>
      <c r="T14" s="32"/>
      <c r="U14" s="32"/>
      <c r="V14" s="32">
        <f t="shared" si="3"/>
        <v>51.862899600000006</v>
      </c>
      <c r="W14" s="55">
        <f t="shared" si="1"/>
        <v>6616.7868996000007</v>
      </c>
      <c r="X14" s="30" t="s">
        <v>253</v>
      </c>
      <c r="Y14" s="30" t="s">
        <v>254</v>
      </c>
      <c r="Z14" s="29" t="s">
        <v>79</v>
      </c>
    </row>
    <row r="15" spans="1:32" ht="52.5" customHeight="1" thickBot="1" x14ac:dyDescent="0.35">
      <c r="A15" s="28">
        <v>8</v>
      </c>
      <c r="B15" s="29" t="s">
        <v>215</v>
      </c>
      <c r="C15" s="35" t="s">
        <v>228</v>
      </c>
      <c r="D15" s="116" t="s">
        <v>33</v>
      </c>
      <c r="E15" s="198" t="s">
        <v>80</v>
      </c>
      <c r="F15" s="199"/>
      <c r="G15" s="44"/>
      <c r="H15" s="44"/>
      <c r="I15" s="214" t="s">
        <v>80</v>
      </c>
      <c r="J15" s="215"/>
      <c r="K15" s="215"/>
      <c r="L15" s="216"/>
      <c r="M15" s="214" t="s">
        <v>78</v>
      </c>
      <c r="N15" s="215"/>
      <c r="O15" s="216"/>
      <c r="P15" s="30" t="s">
        <v>253</v>
      </c>
      <c r="Q15" s="55">
        <v>10275.94</v>
      </c>
      <c r="R15" s="79">
        <f t="shared" si="2"/>
        <v>2055.1880000000001</v>
      </c>
      <c r="S15" s="32">
        <f t="shared" si="0"/>
        <v>12331.128000000001</v>
      </c>
      <c r="T15" s="32"/>
      <c r="U15" s="32"/>
      <c r="V15" s="32">
        <f t="shared" si="3"/>
        <v>97.415911200000011</v>
      </c>
      <c r="W15" s="55">
        <f t="shared" si="1"/>
        <v>12428.5439112</v>
      </c>
      <c r="X15" s="30" t="s">
        <v>253</v>
      </c>
      <c r="Y15" s="30" t="s">
        <v>255</v>
      </c>
      <c r="Z15" s="29" t="s">
        <v>81</v>
      </c>
    </row>
    <row r="16" spans="1:32" ht="47.25" customHeight="1" thickBot="1" x14ac:dyDescent="0.35">
      <c r="A16" s="28">
        <v>9</v>
      </c>
      <c r="B16" s="29" t="s">
        <v>216</v>
      </c>
      <c r="C16" s="35" t="s">
        <v>229</v>
      </c>
      <c r="D16" s="116" t="s">
        <v>33</v>
      </c>
      <c r="E16" s="198" t="s">
        <v>256</v>
      </c>
      <c r="F16" s="199"/>
      <c r="G16" s="44"/>
      <c r="H16" s="44"/>
      <c r="I16" s="214" t="s">
        <v>256</v>
      </c>
      <c r="J16" s="215"/>
      <c r="K16" s="215"/>
      <c r="L16" s="216"/>
      <c r="M16" s="214" t="s">
        <v>83</v>
      </c>
      <c r="N16" s="215"/>
      <c r="O16" s="216"/>
      <c r="P16" s="30" t="s">
        <v>257</v>
      </c>
      <c r="Q16" s="55">
        <v>5213.33</v>
      </c>
      <c r="R16" s="79">
        <f t="shared" si="2"/>
        <v>1042.6659999999999</v>
      </c>
      <c r="S16" s="32">
        <f t="shared" si="0"/>
        <v>6255.9960000000001</v>
      </c>
      <c r="T16" s="32"/>
      <c r="U16" s="32"/>
      <c r="V16" s="32">
        <f t="shared" si="3"/>
        <v>49.422368400000003</v>
      </c>
      <c r="W16" s="55">
        <f t="shared" si="1"/>
        <v>6305.4183684</v>
      </c>
      <c r="X16" s="30" t="s">
        <v>258</v>
      </c>
      <c r="Y16" s="30" t="s">
        <v>259</v>
      </c>
      <c r="Z16" s="29" t="s">
        <v>81</v>
      </c>
    </row>
    <row r="17" spans="1:26" ht="56.25" customHeight="1" thickBot="1" x14ac:dyDescent="0.35">
      <c r="A17" s="28">
        <v>10</v>
      </c>
      <c r="B17" s="29" t="s">
        <v>217</v>
      </c>
      <c r="C17" s="35" t="s">
        <v>230</v>
      </c>
      <c r="D17" s="116" t="s">
        <v>33</v>
      </c>
      <c r="E17" s="198" t="s">
        <v>260</v>
      </c>
      <c r="F17" s="199"/>
      <c r="G17" s="44"/>
      <c r="H17" s="44"/>
      <c r="I17" s="214" t="s">
        <v>260</v>
      </c>
      <c r="J17" s="215"/>
      <c r="K17" s="215"/>
      <c r="L17" s="216"/>
      <c r="M17" s="214" t="s">
        <v>77</v>
      </c>
      <c r="N17" s="215"/>
      <c r="O17" s="216"/>
      <c r="P17" s="30" t="s">
        <v>261</v>
      </c>
      <c r="Q17" s="55">
        <v>26989.86</v>
      </c>
      <c r="R17" s="79">
        <f t="shared" si="2"/>
        <v>5397.9720000000007</v>
      </c>
      <c r="S17" s="32">
        <f t="shared" si="0"/>
        <v>32387.832000000002</v>
      </c>
      <c r="T17" s="32"/>
      <c r="U17" s="32"/>
      <c r="V17" s="32">
        <f t="shared" si="3"/>
        <v>255.86387280000002</v>
      </c>
      <c r="W17" s="55">
        <f t="shared" si="1"/>
        <v>32643.695872800003</v>
      </c>
      <c r="X17" s="30" t="s">
        <v>261</v>
      </c>
      <c r="Y17" s="30" t="s">
        <v>262</v>
      </c>
      <c r="Z17" s="29" t="s">
        <v>109</v>
      </c>
    </row>
    <row r="18" spans="1:26" ht="55.5" customHeight="1" thickBot="1" x14ac:dyDescent="0.35">
      <c r="A18" s="28">
        <v>11</v>
      </c>
      <c r="B18" s="29">
        <v>2025107</v>
      </c>
      <c r="C18" s="35" t="s">
        <v>231</v>
      </c>
      <c r="D18" s="116" t="s">
        <v>33</v>
      </c>
      <c r="E18" s="198" t="s">
        <v>263</v>
      </c>
      <c r="F18" s="199"/>
      <c r="G18" s="44"/>
      <c r="H18" s="44"/>
      <c r="I18" s="214" t="s">
        <v>263</v>
      </c>
      <c r="J18" s="215"/>
      <c r="K18" s="215"/>
      <c r="L18" s="216"/>
      <c r="M18" s="214" t="s">
        <v>82</v>
      </c>
      <c r="N18" s="215"/>
      <c r="O18" s="216"/>
      <c r="P18" s="30" t="s">
        <v>261</v>
      </c>
      <c r="Q18" s="55">
        <v>14833.14</v>
      </c>
      <c r="R18" s="79">
        <f t="shared" si="2"/>
        <v>2966.6280000000002</v>
      </c>
      <c r="S18" s="32">
        <f t="shared" si="0"/>
        <v>17799.768</v>
      </c>
      <c r="T18" s="32"/>
      <c r="U18" s="32"/>
      <c r="V18" s="32">
        <f t="shared" si="3"/>
        <v>140.61816720000002</v>
      </c>
      <c r="W18" s="55">
        <f t="shared" si="1"/>
        <v>17940.386167199998</v>
      </c>
      <c r="X18" s="30" t="s">
        <v>261</v>
      </c>
      <c r="Y18" s="30" t="s">
        <v>264</v>
      </c>
      <c r="Z18" s="29" t="s">
        <v>79</v>
      </c>
    </row>
    <row r="19" spans="1:26" ht="58.5" customHeight="1" thickBot="1" x14ac:dyDescent="0.35">
      <c r="A19" s="28">
        <v>12</v>
      </c>
      <c r="B19" s="29">
        <v>2025108</v>
      </c>
      <c r="C19" s="35" t="s">
        <v>232</v>
      </c>
      <c r="D19" s="116" t="s">
        <v>33</v>
      </c>
      <c r="E19" s="198" t="s">
        <v>237</v>
      </c>
      <c r="F19" s="199"/>
      <c r="G19" s="44"/>
      <c r="H19" s="44"/>
      <c r="I19" s="214" t="s">
        <v>237</v>
      </c>
      <c r="J19" s="215"/>
      <c r="K19" s="215"/>
      <c r="L19" s="216"/>
      <c r="M19" s="214" t="s">
        <v>78</v>
      </c>
      <c r="N19" s="215"/>
      <c r="O19" s="216"/>
      <c r="P19" s="30" t="s">
        <v>265</v>
      </c>
      <c r="Q19" s="55">
        <v>4156.5600000000004</v>
      </c>
      <c r="R19" s="79">
        <f t="shared" si="2"/>
        <v>831.31200000000013</v>
      </c>
      <c r="S19" s="32">
        <f t="shared" si="0"/>
        <v>4987.8720000000003</v>
      </c>
      <c r="T19" s="32"/>
      <c r="U19" s="32"/>
      <c r="V19" s="32">
        <f t="shared" si="3"/>
        <v>39.404188800000007</v>
      </c>
      <c r="W19" s="55">
        <f t="shared" si="1"/>
        <v>5027.2761888000005</v>
      </c>
      <c r="X19" s="30" t="s">
        <v>266</v>
      </c>
      <c r="Y19" s="30" t="s">
        <v>267</v>
      </c>
      <c r="Z19" s="29" t="s">
        <v>81</v>
      </c>
    </row>
    <row r="20" spans="1:26" ht="48.75" customHeight="1" thickBot="1" x14ac:dyDescent="0.35">
      <c r="A20" s="28">
        <v>13</v>
      </c>
      <c r="B20" s="29">
        <v>2025109</v>
      </c>
      <c r="C20" s="35" t="s">
        <v>233</v>
      </c>
      <c r="D20" s="116" t="s">
        <v>33</v>
      </c>
      <c r="E20" s="198" t="s">
        <v>268</v>
      </c>
      <c r="F20" s="199"/>
      <c r="G20" s="44"/>
      <c r="H20" s="44"/>
      <c r="I20" s="214" t="s">
        <v>268</v>
      </c>
      <c r="J20" s="215"/>
      <c r="K20" s="215"/>
      <c r="L20" s="216"/>
      <c r="M20" s="214" t="s">
        <v>82</v>
      </c>
      <c r="N20" s="215"/>
      <c r="O20" s="216"/>
      <c r="P20" s="30" t="s">
        <v>266</v>
      </c>
      <c r="Q20" s="55">
        <v>97188.64</v>
      </c>
      <c r="R20" s="79">
        <f t="shared" si="2"/>
        <v>19437.727999999999</v>
      </c>
      <c r="S20" s="32">
        <f t="shared" si="0"/>
        <v>116626.368</v>
      </c>
      <c r="T20" s="32"/>
      <c r="U20" s="32"/>
      <c r="V20" s="32">
        <f t="shared" si="3"/>
        <v>921.34830720000002</v>
      </c>
      <c r="W20" s="55">
        <f t="shared" si="1"/>
        <v>117547.7163072</v>
      </c>
      <c r="X20" s="30" t="s">
        <v>266</v>
      </c>
      <c r="Y20" s="30" t="s">
        <v>269</v>
      </c>
      <c r="Z20" s="29" t="s">
        <v>79</v>
      </c>
    </row>
    <row r="21" spans="1:26" ht="52.5" customHeight="1" thickBot="1" x14ac:dyDescent="0.35">
      <c r="A21" s="28">
        <v>14</v>
      </c>
      <c r="B21" s="29" t="s">
        <v>219</v>
      </c>
      <c r="C21" s="35" t="s">
        <v>234</v>
      </c>
      <c r="D21" s="116" t="s">
        <v>33</v>
      </c>
      <c r="E21" s="198" t="s">
        <v>92</v>
      </c>
      <c r="F21" s="199"/>
      <c r="G21" s="44"/>
      <c r="H21" s="44"/>
      <c r="I21" s="214" t="s">
        <v>92</v>
      </c>
      <c r="J21" s="215"/>
      <c r="K21" s="215"/>
      <c r="L21" s="216"/>
      <c r="M21" s="214" t="s">
        <v>78</v>
      </c>
      <c r="N21" s="215"/>
      <c r="O21" s="216"/>
      <c r="P21" s="30" t="s">
        <v>270</v>
      </c>
      <c r="Q21" s="55">
        <v>7966.74</v>
      </c>
      <c r="R21" s="79">
        <f t="shared" si="2"/>
        <v>1593.348</v>
      </c>
      <c r="S21" s="32">
        <f t="shared" si="0"/>
        <v>9560.0879999999997</v>
      </c>
      <c r="T21" s="32"/>
      <c r="U21" s="32"/>
      <c r="V21" s="32">
        <f t="shared" si="3"/>
        <v>75.524695199999996</v>
      </c>
      <c r="W21" s="55">
        <f t="shared" si="1"/>
        <v>9635.6126951999995</v>
      </c>
      <c r="X21" s="30" t="s">
        <v>271</v>
      </c>
      <c r="Y21" s="30" t="s">
        <v>272</v>
      </c>
      <c r="Z21" s="29" t="s">
        <v>90</v>
      </c>
    </row>
    <row r="22" spans="1:26" ht="51.75" customHeight="1" thickBot="1" x14ac:dyDescent="0.35">
      <c r="A22" s="28">
        <v>15</v>
      </c>
      <c r="B22" s="29" t="s">
        <v>218</v>
      </c>
      <c r="C22" s="35" t="s">
        <v>235</v>
      </c>
      <c r="D22" s="116" t="s">
        <v>33</v>
      </c>
      <c r="E22" s="198" t="s">
        <v>92</v>
      </c>
      <c r="F22" s="199"/>
      <c r="G22" s="44"/>
      <c r="H22" s="44"/>
      <c r="I22" s="214" t="s">
        <v>92</v>
      </c>
      <c r="J22" s="215"/>
      <c r="K22" s="215"/>
      <c r="L22" s="216"/>
      <c r="M22" s="214" t="s">
        <v>83</v>
      </c>
      <c r="N22" s="215"/>
      <c r="O22" s="216"/>
      <c r="P22" s="30" t="s">
        <v>261</v>
      </c>
      <c r="Q22" s="55">
        <v>41524.639999999999</v>
      </c>
      <c r="R22" s="79">
        <f t="shared" si="2"/>
        <v>8304.9279999999999</v>
      </c>
      <c r="S22" s="32">
        <f t="shared" si="0"/>
        <v>49829.567999999999</v>
      </c>
      <c r="T22" s="32"/>
      <c r="U22" s="32"/>
      <c r="V22" s="32">
        <f t="shared" si="3"/>
        <v>393.6535872</v>
      </c>
      <c r="W22" s="55">
        <f t="shared" si="1"/>
        <v>50223.221587200002</v>
      </c>
      <c r="X22" s="30" t="s">
        <v>271</v>
      </c>
      <c r="Y22" s="30" t="s">
        <v>273</v>
      </c>
      <c r="Z22" s="29" t="s">
        <v>90</v>
      </c>
    </row>
    <row r="23" spans="1:26" ht="57" customHeight="1" thickBot="1" x14ac:dyDescent="0.35">
      <c r="A23" s="28">
        <v>16</v>
      </c>
      <c r="B23" s="29" t="s">
        <v>220</v>
      </c>
      <c r="C23" s="35" t="s">
        <v>236</v>
      </c>
      <c r="D23" s="116" t="s">
        <v>33</v>
      </c>
      <c r="E23" s="198" t="s">
        <v>274</v>
      </c>
      <c r="F23" s="199"/>
      <c r="G23" s="44"/>
      <c r="H23" s="44"/>
      <c r="I23" s="214" t="s">
        <v>274</v>
      </c>
      <c r="J23" s="215"/>
      <c r="K23" s="215"/>
      <c r="L23" s="216"/>
      <c r="M23" s="214" t="s">
        <v>77</v>
      </c>
      <c r="N23" s="215"/>
      <c r="O23" s="216"/>
      <c r="P23" s="30" t="s">
        <v>238</v>
      </c>
      <c r="Q23" s="55">
        <v>50521.81</v>
      </c>
      <c r="R23" s="79">
        <f t="shared" si="2"/>
        <v>10104.362000000001</v>
      </c>
      <c r="S23" s="32">
        <f t="shared" si="0"/>
        <v>60626.171999999999</v>
      </c>
      <c r="T23" s="32"/>
      <c r="U23" s="32"/>
      <c r="V23" s="32">
        <f t="shared" si="3"/>
        <v>478.9467588</v>
      </c>
      <c r="W23" s="55">
        <f t="shared" si="1"/>
        <v>61105.118758799996</v>
      </c>
      <c r="X23" s="30" t="s">
        <v>271</v>
      </c>
      <c r="Y23" s="30" t="s">
        <v>275</v>
      </c>
      <c r="Z23" s="29" t="s">
        <v>81</v>
      </c>
    </row>
    <row r="24" spans="1:26" ht="93" customHeight="1" thickBot="1" x14ac:dyDescent="0.35">
      <c r="A24" s="28">
        <v>17</v>
      </c>
      <c r="B24" s="29">
        <v>2025</v>
      </c>
      <c r="C24" s="35" t="s">
        <v>276</v>
      </c>
      <c r="D24" s="117" t="s">
        <v>33</v>
      </c>
      <c r="E24" s="198" t="s">
        <v>277</v>
      </c>
      <c r="F24" s="199"/>
      <c r="G24" s="44"/>
      <c r="H24" s="44"/>
      <c r="I24" s="214" t="s">
        <v>277</v>
      </c>
      <c r="J24" s="215"/>
      <c r="K24" s="215"/>
      <c r="L24" s="216"/>
      <c r="M24" s="214" t="s">
        <v>278</v>
      </c>
      <c r="N24" s="215"/>
      <c r="O24" s="216"/>
      <c r="P24" s="30" t="s">
        <v>279</v>
      </c>
      <c r="Q24" s="55">
        <v>39570.57</v>
      </c>
      <c r="R24" s="79">
        <f t="shared" ref="R24" si="4">Q24*0.2</f>
        <v>7914.1140000000005</v>
      </c>
      <c r="S24" s="32">
        <f t="shared" ref="S24" si="5">Q24+R24</f>
        <v>47484.684000000001</v>
      </c>
      <c r="T24" s="32"/>
      <c r="U24" s="32"/>
      <c r="V24" s="32">
        <f t="shared" ref="V24" si="6">Q24*0.00948</f>
        <v>375.12900360000003</v>
      </c>
      <c r="W24" s="55">
        <f t="shared" ref="W24" si="7">SUM(S24:V24)</f>
        <v>47859.8130036</v>
      </c>
      <c r="X24" s="30" t="s">
        <v>279</v>
      </c>
      <c r="Y24" s="30" t="s">
        <v>280</v>
      </c>
      <c r="Z24" s="29" t="s">
        <v>81</v>
      </c>
    </row>
    <row r="25" spans="1:26" ht="42" customHeight="1" thickBot="1" x14ac:dyDescent="0.35">
      <c r="A25" s="28"/>
      <c r="B25" s="29"/>
      <c r="C25" s="35"/>
      <c r="D25" s="116"/>
      <c r="E25" s="198"/>
      <c r="F25" s="199"/>
      <c r="G25" s="44"/>
      <c r="H25" s="44"/>
      <c r="I25" s="214"/>
      <c r="J25" s="215"/>
      <c r="K25" s="215"/>
      <c r="L25" s="216"/>
      <c r="M25" s="214"/>
      <c r="N25" s="215"/>
      <c r="O25" s="216"/>
      <c r="P25" s="30"/>
      <c r="Q25" s="36"/>
      <c r="R25" s="49"/>
      <c r="S25" s="31">
        <f t="shared" si="0"/>
        <v>0</v>
      </c>
      <c r="T25" s="32"/>
      <c r="U25" s="31"/>
      <c r="V25" s="31">
        <f t="shared" si="3"/>
        <v>0</v>
      </c>
      <c r="W25" s="36">
        <f t="shared" si="1"/>
        <v>0</v>
      </c>
      <c r="X25" s="30"/>
      <c r="Y25" s="30"/>
      <c r="Z25" s="29"/>
    </row>
    <row r="26" spans="1:26" ht="42.75" customHeight="1" thickBot="1" x14ac:dyDescent="0.25">
      <c r="A26" s="195" t="s">
        <v>6</v>
      </c>
      <c r="B26" s="196"/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7"/>
      <c r="Q26" s="36">
        <f>SUM(Q8:Q25)</f>
        <v>442227.89</v>
      </c>
      <c r="R26" s="31">
        <f>SUM(R8:R25)</f>
        <v>88445.57799999998</v>
      </c>
      <c r="S26" s="31">
        <f>SUM(S8:S25)</f>
        <v>530673.46799999999</v>
      </c>
      <c r="T26" s="33" t="s">
        <v>30</v>
      </c>
      <c r="U26" s="31"/>
      <c r="V26" s="31">
        <f>SUM(V8:V25)</f>
        <v>4192.3203972000001</v>
      </c>
      <c r="W26" s="36">
        <f>SUM(W8:W25)</f>
        <v>534865.78839720006</v>
      </c>
      <c r="X26" s="32"/>
      <c r="Y26" s="30"/>
      <c r="Z26" s="34"/>
    </row>
    <row r="27" spans="1:26" ht="39.75" customHeight="1" thickBot="1" x14ac:dyDescent="0.4">
      <c r="A27" s="183" t="s">
        <v>28</v>
      </c>
      <c r="B27" s="184"/>
      <c r="C27" s="184"/>
      <c r="D27" s="184"/>
      <c r="E27" s="184"/>
      <c r="F27" s="184"/>
      <c r="G27" s="184"/>
      <c r="H27" s="184"/>
      <c r="I27" s="184"/>
      <c r="J27" s="184"/>
      <c r="K27" s="184"/>
      <c r="L27" s="184"/>
      <c r="M27" s="184"/>
      <c r="N27" s="184"/>
      <c r="O27" s="184"/>
      <c r="P27" s="184"/>
      <c r="Q27" s="184"/>
      <c r="R27" s="184"/>
      <c r="S27" s="185"/>
      <c r="T27" s="189" t="s">
        <v>11</v>
      </c>
      <c r="U27" s="190"/>
      <c r="V27" s="191"/>
      <c r="W27" s="192" t="s">
        <v>73</v>
      </c>
      <c r="X27" s="193"/>
      <c r="Y27" s="193"/>
      <c r="Z27" s="194"/>
    </row>
    <row r="28" spans="1:26" ht="35.25" customHeight="1" thickBot="1" x14ac:dyDescent="0.25">
      <c r="A28" s="224" t="s">
        <v>29</v>
      </c>
      <c r="B28" s="225"/>
      <c r="C28" s="225"/>
      <c r="D28" s="225"/>
      <c r="E28" s="225"/>
      <c r="F28" s="225"/>
      <c r="G28" s="225"/>
      <c r="H28" s="225"/>
      <c r="I28" s="225"/>
      <c r="J28" s="225"/>
      <c r="K28" s="225"/>
      <c r="L28" s="225"/>
      <c r="M28" s="225"/>
      <c r="N28" s="225"/>
      <c r="O28" s="225"/>
      <c r="P28" s="225"/>
      <c r="Q28" s="225"/>
      <c r="R28" s="225"/>
      <c r="S28" s="226"/>
      <c r="T28" s="189" t="s">
        <v>12</v>
      </c>
      <c r="U28" s="190"/>
      <c r="V28" s="191"/>
      <c r="W28" s="192" t="s">
        <v>104</v>
      </c>
      <c r="X28" s="193"/>
      <c r="Y28" s="193"/>
      <c r="Z28" s="194"/>
    </row>
    <row r="29" spans="1:26" ht="44.25" customHeight="1" thickBot="1" x14ac:dyDescent="0.4">
      <c r="A29" s="180"/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2"/>
      <c r="T29" s="189" t="s">
        <v>13</v>
      </c>
      <c r="U29" s="190"/>
      <c r="V29" s="191"/>
      <c r="W29" s="192" t="s">
        <v>32</v>
      </c>
      <c r="X29" s="193"/>
      <c r="Y29" s="193"/>
      <c r="Z29" s="194"/>
    </row>
    <row r="30" spans="1:26" ht="50.25" customHeight="1" thickBot="1" x14ac:dyDescent="0.45">
      <c r="A30" s="177"/>
      <c r="B30" s="178"/>
      <c r="C30" s="178"/>
      <c r="D30" s="178"/>
      <c r="E30" s="178"/>
      <c r="F30" s="178"/>
      <c r="G30" s="178"/>
      <c r="H30" s="178"/>
      <c r="I30" s="178"/>
      <c r="J30" s="178"/>
      <c r="K30" s="178"/>
      <c r="L30" s="178"/>
      <c r="M30" s="178"/>
      <c r="N30" s="178"/>
      <c r="O30" s="178"/>
      <c r="P30" s="178"/>
      <c r="Q30" s="178"/>
      <c r="R30" s="178"/>
      <c r="S30" s="179"/>
      <c r="T30" s="189" t="s">
        <v>14</v>
      </c>
      <c r="U30" s="190"/>
      <c r="V30" s="191"/>
      <c r="W30" s="186"/>
      <c r="X30" s="187"/>
      <c r="Y30" s="187"/>
      <c r="Z30" s="188"/>
    </row>
    <row r="31" spans="1:26" ht="38.25" customHeight="1" x14ac:dyDescent="0.2">
      <c r="C31" s="2"/>
    </row>
    <row r="32" spans="1:26" ht="38.2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</sheetData>
  <mergeCells count="90">
    <mergeCell ref="A29:S29"/>
    <mergeCell ref="T29:V29"/>
    <mergeCell ref="W29:Z29"/>
    <mergeCell ref="A30:S30"/>
    <mergeCell ref="T30:V30"/>
    <mergeCell ref="W30:Z30"/>
    <mergeCell ref="A27:S27"/>
    <mergeCell ref="T27:V27"/>
    <mergeCell ref="W27:Z27"/>
    <mergeCell ref="A28:S28"/>
    <mergeCell ref="T28:V28"/>
    <mergeCell ref="W28:Z28"/>
    <mergeCell ref="A26:P26"/>
    <mergeCell ref="M12:O12"/>
    <mergeCell ref="I13:L13"/>
    <mergeCell ref="M13:O13"/>
    <mergeCell ref="I14:L14"/>
    <mergeCell ref="M14:O14"/>
    <mergeCell ref="E12:F12"/>
    <mergeCell ref="E13:F13"/>
    <mergeCell ref="E14:F14"/>
    <mergeCell ref="I12:L12"/>
    <mergeCell ref="E15:F15"/>
    <mergeCell ref="E16:F16"/>
    <mergeCell ref="I15:L15"/>
    <mergeCell ref="M15:O15"/>
    <mergeCell ref="I16:L16"/>
    <mergeCell ref="M16:O16"/>
    <mergeCell ref="M10:O10"/>
    <mergeCell ref="I11:L11"/>
    <mergeCell ref="M11:O11"/>
    <mergeCell ref="E9:H9"/>
    <mergeCell ref="I9:L9"/>
    <mergeCell ref="M9:O9"/>
    <mergeCell ref="E11:F11"/>
    <mergeCell ref="I10:L10"/>
    <mergeCell ref="E10:H10"/>
    <mergeCell ref="U5:U6"/>
    <mergeCell ref="V5:V6"/>
    <mergeCell ref="R5:R6"/>
    <mergeCell ref="S5:S6"/>
    <mergeCell ref="E8:F8"/>
    <mergeCell ref="E7:F7"/>
    <mergeCell ref="I7:L7"/>
    <mergeCell ref="M7:O7"/>
    <mergeCell ref="I8:L8"/>
    <mergeCell ref="M8:O8"/>
    <mergeCell ref="C5:C6"/>
    <mergeCell ref="D5:D6"/>
    <mergeCell ref="T5:T6"/>
    <mergeCell ref="A1:Z1"/>
    <mergeCell ref="A2:Z4"/>
    <mergeCell ref="E5:H6"/>
    <mergeCell ref="I5:L6"/>
    <mergeCell ref="M5:O6"/>
    <mergeCell ref="X5:X6"/>
    <mergeCell ref="Y5:Y6"/>
    <mergeCell ref="Z5:Z6"/>
    <mergeCell ref="W5:W6"/>
    <mergeCell ref="P5:P6"/>
    <mergeCell ref="Q5:Q6"/>
    <mergeCell ref="A5:A6"/>
    <mergeCell ref="B5:B6"/>
    <mergeCell ref="E17:F17"/>
    <mergeCell ref="E18:F18"/>
    <mergeCell ref="E19:F19"/>
    <mergeCell ref="I17:L17"/>
    <mergeCell ref="M17:O17"/>
    <mergeCell ref="I18:L18"/>
    <mergeCell ref="I19:L19"/>
    <mergeCell ref="E20:F20"/>
    <mergeCell ref="E21:F21"/>
    <mergeCell ref="E22:F22"/>
    <mergeCell ref="E23:F23"/>
    <mergeCell ref="E25:F25"/>
    <mergeCell ref="E24:F24"/>
    <mergeCell ref="I23:L23"/>
    <mergeCell ref="I25:L25"/>
    <mergeCell ref="I20:L20"/>
    <mergeCell ref="M18:O18"/>
    <mergeCell ref="I21:L21"/>
    <mergeCell ref="M19:O19"/>
    <mergeCell ref="I22:L22"/>
    <mergeCell ref="M20:O20"/>
    <mergeCell ref="M21:O21"/>
    <mergeCell ref="M22:O22"/>
    <mergeCell ref="M23:O23"/>
    <mergeCell ref="M25:O25"/>
    <mergeCell ref="I24:L24"/>
    <mergeCell ref="M24:O24"/>
  </mergeCells>
  <phoneticPr fontId="27" type="noConversion"/>
  <pageMargins left="0.9055118110236221" right="0.15748031496062992" top="0.43307086614173229" bottom="0" header="0.15748031496062992" footer="0.15748031496062992"/>
  <pageSetup paperSize="9" scale="37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43"/>
  <sheetViews>
    <sheetView view="pageBreakPreview" topLeftCell="A10" zoomScale="60" zoomScaleNormal="56" workbookViewId="0">
      <selection activeCell="Z16" sqref="Z16"/>
    </sheetView>
  </sheetViews>
  <sheetFormatPr defaultRowHeight="12.75" x14ac:dyDescent="0.2"/>
  <cols>
    <col min="1" max="1" width="10.140625" customWidth="1"/>
    <col min="2" max="2" width="15.140625" style="1" customWidth="1"/>
    <col min="3" max="3" width="10.42578125" style="1" customWidth="1"/>
    <col min="4" max="4" width="9.28515625" style="1" customWidth="1"/>
    <col min="5" max="5" width="17.7109375" style="1" customWidth="1"/>
    <col min="6" max="6" width="24.7109375" style="1" customWidth="1"/>
    <col min="7" max="7" width="8.5703125" style="1" hidden="1" customWidth="1"/>
    <col min="8" max="8" width="10.28515625" style="1" hidden="1" customWidth="1"/>
    <col min="9" max="9" width="5.140625" style="1" customWidth="1"/>
    <col min="10" max="10" width="5.5703125" style="1" customWidth="1"/>
    <col min="11" max="11" width="5" style="1" customWidth="1"/>
    <col min="12" max="12" width="14.85546875" style="1" customWidth="1"/>
    <col min="13" max="13" width="8.42578125" style="1" customWidth="1"/>
    <col min="14" max="14" width="8" style="1" customWidth="1"/>
    <col min="15" max="15" width="12.7109375" style="1" customWidth="1"/>
    <col min="16" max="16" width="23.5703125" style="1" customWidth="1"/>
    <col min="17" max="17" width="22.42578125" style="1" customWidth="1"/>
    <col min="18" max="18" width="22.5703125" style="1" customWidth="1"/>
    <col min="19" max="19" width="22.42578125" style="1" customWidth="1"/>
    <col min="20" max="20" width="17.28515625" style="1" customWidth="1"/>
    <col min="21" max="21" width="13.42578125" style="1" customWidth="1"/>
    <col min="22" max="22" width="20.28515625" style="1" customWidth="1"/>
    <col min="23" max="23" width="22.28515625" style="1" customWidth="1"/>
    <col min="24" max="24" width="27.140625" style="1" customWidth="1"/>
    <col min="25" max="25" width="26.85546875" style="1" customWidth="1"/>
    <col min="26" max="26" width="26.7109375" style="1" customWidth="1"/>
  </cols>
  <sheetData>
    <row r="1" spans="1:32" ht="43.5" customHeight="1" x14ac:dyDescent="0.4">
      <c r="A1" s="227" t="s">
        <v>10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9"/>
    </row>
    <row r="2" spans="1:32" ht="37.5" customHeight="1" x14ac:dyDescent="0.2">
      <c r="A2" s="137" t="s">
        <v>362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9"/>
    </row>
    <row r="3" spans="1:32" ht="30" customHeight="1" x14ac:dyDescent="0.2">
      <c r="A3" s="137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9"/>
    </row>
    <row r="4" spans="1:32" ht="12" customHeight="1" thickBot="1" x14ac:dyDescent="0.25">
      <c r="A4" s="137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9"/>
    </row>
    <row r="5" spans="1:32" s="3" customFormat="1" ht="68.25" customHeight="1" x14ac:dyDescent="0.3">
      <c r="A5" s="217" t="s">
        <v>9</v>
      </c>
      <c r="B5" s="200" t="s">
        <v>1</v>
      </c>
      <c r="C5" s="200" t="s">
        <v>2</v>
      </c>
      <c r="D5" s="200" t="s">
        <v>15</v>
      </c>
      <c r="E5" s="202" t="s">
        <v>5</v>
      </c>
      <c r="F5" s="203"/>
      <c r="G5" s="203"/>
      <c r="H5" s="204"/>
      <c r="I5" s="208" t="s">
        <v>16</v>
      </c>
      <c r="J5" s="209"/>
      <c r="K5" s="209"/>
      <c r="L5" s="210"/>
      <c r="M5" s="208" t="s">
        <v>3</v>
      </c>
      <c r="N5" s="209"/>
      <c r="O5" s="210"/>
      <c r="P5" s="200" t="s">
        <v>17</v>
      </c>
      <c r="Q5" s="200" t="s">
        <v>22</v>
      </c>
      <c r="R5" s="200" t="s">
        <v>75</v>
      </c>
      <c r="S5" s="200" t="s">
        <v>26</v>
      </c>
      <c r="T5" s="200" t="s">
        <v>27</v>
      </c>
      <c r="U5" s="200" t="s">
        <v>31</v>
      </c>
      <c r="V5" s="200" t="s">
        <v>18</v>
      </c>
      <c r="W5" s="200" t="s">
        <v>0</v>
      </c>
      <c r="X5" s="200" t="s">
        <v>8</v>
      </c>
      <c r="Y5" s="200" t="s">
        <v>7</v>
      </c>
      <c r="Z5" s="200" t="s">
        <v>4</v>
      </c>
    </row>
    <row r="6" spans="1:32" s="3" customFormat="1" ht="50.25" customHeight="1" thickBot="1" x14ac:dyDescent="0.35">
      <c r="A6" s="218"/>
      <c r="B6" s="201"/>
      <c r="C6" s="201"/>
      <c r="D6" s="201"/>
      <c r="E6" s="205"/>
      <c r="F6" s="206"/>
      <c r="G6" s="206"/>
      <c r="H6" s="207"/>
      <c r="I6" s="211"/>
      <c r="J6" s="212"/>
      <c r="K6" s="212"/>
      <c r="L6" s="213"/>
      <c r="M6" s="211"/>
      <c r="N6" s="212"/>
      <c r="O6" s="213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1"/>
      <c r="AA6" s="4"/>
      <c r="AB6" s="4"/>
      <c r="AC6" s="4"/>
      <c r="AD6" s="4"/>
      <c r="AE6" s="4"/>
      <c r="AF6" s="4"/>
    </row>
    <row r="7" spans="1:32" s="3" customFormat="1" ht="39" customHeight="1" thickBot="1" x14ac:dyDescent="0.35">
      <c r="A7" s="86"/>
      <c r="B7" s="92"/>
      <c r="C7" s="92"/>
      <c r="D7" s="92"/>
      <c r="E7" s="147"/>
      <c r="F7" s="148"/>
      <c r="G7" s="93"/>
      <c r="H7" s="93"/>
      <c r="I7" s="144"/>
      <c r="J7" s="145"/>
      <c r="K7" s="145"/>
      <c r="L7" s="146"/>
      <c r="M7" s="144"/>
      <c r="N7" s="145"/>
      <c r="O7" s="146"/>
      <c r="P7" s="92"/>
      <c r="Q7" s="92" t="s">
        <v>19</v>
      </c>
      <c r="R7" s="92" t="s">
        <v>20</v>
      </c>
      <c r="S7" s="92" t="s">
        <v>21</v>
      </c>
      <c r="T7" s="92" t="s">
        <v>24</v>
      </c>
      <c r="U7" s="92" t="s">
        <v>23</v>
      </c>
      <c r="V7" s="92"/>
      <c r="W7" s="92" t="s">
        <v>25</v>
      </c>
      <c r="X7" s="92"/>
      <c r="Y7" s="92"/>
      <c r="Z7" s="92"/>
      <c r="AA7" s="4"/>
      <c r="AB7" s="4"/>
      <c r="AC7" s="4"/>
      <c r="AD7" s="4"/>
      <c r="AE7" s="4"/>
      <c r="AF7" s="4"/>
    </row>
    <row r="8" spans="1:32" ht="59.25" customHeight="1" thickBot="1" x14ac:dyDescent="0.25">
      <c r="A8" s="28">
        <v>1</v>
      </c>
      <c r="B8" s="29" t="s">
        <v>281</v>
      </c>
      <c r="C8" s="35" t="s">
        <v>301</v>
      </c>
      <c r="D8" s="99" t="s">
        <v>33</v>
      </c>
      <c r="E8" s="127" t="s">
        <v>298</v>
      </c>
      <c r="F8" s="128"/>
      <c r="G8" s="33"/>
      <c r="H8" s="33"/>
      <c r="I8" s="131" t="s">
        <v>298</v>
      </c>
      <c r="J8" s="132"/>
      <c r="K8" s="132"/>
      <c r="L8" s="133"/>
      <c r="M8" s="131" t="s">
        <v>82</v>
      </c>
      <c r="N8" s="132"/>
      <c r="O8" s="133"/>
      <c r="P8" s="30" t="s">
        <v>299</v>
      </c>
      <c r="Q8" s="55">
        <v>8068.4</v>
      </c>
      <c r="R8" s="79">
        <f>Q8*0.2</f>
        <v>1613.68</v>
      </c>
      <c r="S8" s="32">
        <f t="shared" ref="S8:S24" si="0">Q8+R8</f>
        <v>9682.08</v>
      </c>
      <c r="T8" s="72"/>
      <c r="U8" s="72"/>
      <c r="V8" s="32">
        <f>Q8*0.00948</f>
        <v>76.488432000000003</v>
      </c>
      <c r="W8" s="55">
        <f t="shared" ref="W8:W24" si="1">SUM(S8:V8)</f>
        <v>9758.568432</v>
      </c>
      <c r="X8" s="37">
        <v>45971</v>
      </c>
      <c r="Y8" s="30" t="s">
        <v>300</v>
      </c>
      <c r="Z8" s="38" t="s">
        <v>79</v>
      </c>
    </row>
    <row r="9" spans="1:32" ht="54" customHeight="1" thickBot="1" x14ac:dyDescent="0.25">
      <c r="A9" s="28">
        <v>2</v>
      </c>
      <c r="B9" s="29" t="s">
        <v>282</v>
      </c>
      <c r="C9" s="35" t="s">
        <v>302</v>
      </c>
      <c r="D9" s="99" t="s">
        <v>33</v>
      </c>
      <c r="E9" s="131" t="s">
        <v>318</v>
      </c>
      <c r="F9" s="132"/>
      <c r="G9" s="132"/>
      <c r="H9" s="133"/>
      <c r="I9" s="131" t="s">
        <v>318</v>
      </c>
      <c r="J9" s="132"/>
      <c r="K9" s="132"/>
      <c r="L9" s="133"/>
      <c r="M9" s="131" t="s">
        <v>82</v>
      </c>
      <c r="N9" s="132"/>
      <c r="O9" s="133"/>
      <c r="P9" s="30" t="s">
        <v>299</v>
      </c>
      <c r="Q9" s="55">
        <v>8068.45</v>
      </c>
      <c r="R9" s="79">
        <f t="shared" ref="R9:R24" si="2">Q9*0.2</f>
        <v>1613.69</v>
      </c>
      <c r="S9" s="32">
        <f t="shared" si="0"/>
        <v>9682.14</v>
      </c>
      <c r="T9" s="72"/>
      <c r="U9" s="72"/>
      <c r="V9" s="32">
        <f t="shared" ref="V9:V24" si="3">Q9*0.00948</f>
        <v>76.488906</v>
      </c>
      <c r="W9" s="55">
        <f t="shared" si="1"/>
        <v>9758.6289059999999</v>
      </c>
      <c r="X9" s="30" t="s">
        <v>299</v>
      </c>
      <c r="Y9" s="30" t="s">
        <v>319</v>
      </c>
      <c r="Z9" s="38" t="s">
        <v>81</v>
      </c>
    </row>
    <row r="10" spans="1:32" ht="60.75" customHeight="1" thickBot="1" x14ac:dyDescent="0.25">
      <c r="A10" s="28">
        <v>3</v>
      </c>
      <c r="B10" s="29" t="s">
        <v>283</v>
      </c>
      <c r="C10" s="35" t="s">
        <v>303</v>
      </c>
      <c r="D10" s="99" t="s">
        <v>33</v>
      </c>
      <c r="E10" s="131" t="s">
        <v>320</v>
      </c>
      <c r="F10" s="132"/>
      <c r="G10" s="132"/>
      <c r="H10" s="133"/>
      <c r="I10" s="131" t="s">
        <v>320</v>
      </c>
      <c r="J10" s="132"/>
      <c r="K10" s="132"/>
      <c r="L10" s="133"/>
      <c r="M10" s="131" t="s">
        <v>82</v>
      </c>
      <c r="N10" s="132"/>
      <c r="O10" s="133"/>
      <c r="P10" s="30" t="s">
        <v>321</v>
      </c>
      <c r="Q10" s="55">
        <v>18963.88</v>
      </c>
      <c r="R10" s="79">
        <f t="shared" si="2"/>
        <v>3792.7760000000003</v>
      </c>
      <c r="S10" s="32">
        <f t="shared" si="0"/>
        <v>22756.656000000003</v>
      </c>
      <c r="T10" s="72"/>
      <c r="U10" s="72"/>
      <c r="V10" s="32">
        <f t="shared" si="3"/>
        <v>179.77758240000003</v>
      </c>
      <c r="W10" s="55">
        <f t="shared" si="1"/>
        <v>22936.433582400001</v>
      </c>
      <c r="X10" s="85">
        <v>45972</v>
      </c>
      <c r="Y10" s="30" t="s">
        <v>322</v>
      </c>
      <c r="Z10" s="38" t="s">
        <v>76</v>
      </c>
    </row>
    <row r="11" spans="1:32" ht="42.75" customHeight="1" thickBot="1" x14ac:dyDescent="0.25">
      <c r="A11" s="28">
        <v>4</v>
      </c>
      <c r="B11" s="29" t="s">
        <v>284</v>
      </c>
      <c r="C11" s="35" t="s">
        <v>304</v>
      </c>
      <c r="D11" s="99" t="s">
        <v>33</v>
      </c>
      <c r="E11" s="127" t="s">
        <v>323</v>
      </c>
      <c r="F11" s="128"/>
      <c r="G11" s="33"/>
      <c r="H11" s="33"/>
      <c r="I11" s="131" t="s">
        <v>323</v>
      </c>
      <c r="J11" s="132"/>
      <c r="K11" s="132"/>
      <c r="L11" s="133"/>
      <c r="M11" s="131" t="s">
        <v>83</v>
      </c>
      <c r="N11" s="132"/>
      <c r="O11" s="133"/>
      <c r="P11" s="30" t="s">
        <v>324</v>
      </c>
      <c r="Q11" s="55">
        <v>35662.199999999997</v>
      </c>
      <c r="R11" s="79">
        <f t="shared" si="2"/>
        <v>7132.44</v>
      </c>
      <c r="S11" s="32">
        <f t="shared" si="0"/>
        <v>42794.64</v>
      </c>
      <c r="T11" s="72"/>
      <c r="U11" s="72"/>
      <c r="V11" s="32">
        <f t="shared" si="3"/>
        <v>338.07765599999999</v>
      </c>
      <c r="W11" s="55">
        <f t="shared" si="1"/>
        <v>43132.717656000001</v>
      </c>
      <c r="X11" s="30" t="s">
        <v>324</v>
      </c>
      <c r="Y11" s="30" t="s">
        <v>325</v>
      </c>
      <c r="Z11" s="38" t="s">
        <v>76</v>
      </c>
    </row>
    <row r="12" spans="1:32" ht="61.5" customHeight="1" thickBot="1" x14ac:dyDescent="0.25">
      <c r="A12" s="28">
        <v>5</v>
      </c>
      <c r="B12" s="29" t="s">
        <v>285</v>
      </c>
      <c r="C12" s="35" t="s">
        <v>305</v>
      </c>
      <c r="D12" s="99" t="s">
        <v>33</v>
      </c>
      <c r="E12" s="127" t="s">
        <v>327</v>
      </c>
      <c r="F12" s="128"/>
      <c r="G12" s="33"/>
      <c r="H12" s="33"/>
      <c r="I12" s="131" t="s">
        <v>327</v>
      </c>
      <c r="J12" s="132"/>
      <c r="K12" s="132"/>
      <c r="L12" s="133"/>
      <c r="M12" s="131" t="s">
        <v>82</v>
      </c>
      <c r="N12" s="132"/>
      <c r="O12" s="133"/>
      <c r="P12" s="30" t="s">
        <v>326</v>
      </c>
      <c r="Q12" s="55">
        <v>14764.21</v>
      </c>
      <c r="R12" s="79">
        <f t="shared" si="2"/>
        <v>2952.8420000000001</v>
      </c>
      <c r="S12" s="32">
        <f t="shared" si="0"/>
        <v>17717.052</v>
      </c>
      <c r="T12" s="72"/>
      <c r="U12" s="72"/>
      <c r="V12" s="32">
        <f t="shared" si="3"/>
        <v>139.96471080000001</v>
      </c>
      <c r="W12" s="55">
        <f t="shared" si="1"/>
        <v>17857.016710799999</v>
      </c>
      <c r="X12" s="30" t="s">
        <v>326</v>
      </c>
      <c r="Y12" s="30" t="s">
        <v>328</v>
      </c>
      <c r="Z12" s="29" t="s">
        <v>79</v>
      </c>
    </row>
    <row r="13" spans="1:32" ht="45" customHeight="1" thickBot="1" x14ac:dyDescent="0.25">
      <c r="A13" s="28">
        <v>6</v>
      </c>
      <c r="B13" s="29" t="s">
        <v>286</v>
      </c>
      <c r="C13" s="35" t="s">
        <v>306</v>
      </c>
      <c r="D13" s="99" t="s">
        <v>33</v>
      </c>
      <c r="E13" s="127" t="s">
        <v>329</v>
      </c>
      <c r="F13" s="128"/>
      <c r="G13" s="122"/>
      <c r="H13" s="122"/>
      <c r="I13" s="131" t="s">
        <v>329</v>
      </c>
      <c r="J13" s="132"/>
      <c r="K13" s="132"/>
      <c r="L13" s="133"/>
      <c r="M13" s="131" t="s">
        <v>77</v>
      </c>
      <c r="N13" s="132"/>
      <c r="O13" s="133"/>
      <c r="P13" s="30" t="s">
        <v>331</v>
      </c>
      <c r="Q13" s="55">
        <v>50521.81</v>
      </c>
      <c r="R13" s="79">
        <f t="shared" si="2"/>
        <v>10104.362000000001</v>
      </c>
      <c r="S13" s="32">
        <f t="shared" si="0"/>
        <v>60626.171999999999</v>
      </c>
      <c r="T13" s="121"/>
      <c r="U13" s="121"/>
      <c r="V13" s="120">
        <f t="shared" si="3"/>
        <v>478.9467588</v>
      </c>
      <c r="W13" s="55">
        <f t="shared" si="1"/>
        <v>61105.118758799996</v>
      </c>
      <c r="X13" s="30" t="s">
        <v>330</v>
      </c>
      <c r="Y13" s="30" t="s">
        <v>332</v>
      </c>
      <c r="Z13" s="29" t="s">
        <v>79</v>
      </c>
    </row>
    <row r="14" spans="1:32" ht="41.25" customHeight="1" thickBot="1" x14ac:dyDescent="0.25">
      <c r="A14" s="28">
        <v>7</v>
      </c>
      <c r="B14" s="29" t="s">
        <v>287</v>
      </c>
      <c r="C14" s="35" t="s">
        <v>307</v>
      </c>
      <c r="D14" s="99" t="s">
        <v>33</v>
      </c>
      <c r="E14" s="127" t="s">
        <v>333</v>
      </c>
      <c r="F14" s="128"/>
      <c r="G14" s="122"/>
      <c r="H14" s="122"/>
      <c r="I14" s="131" t="s">
        <v>333</v>
      </c>
      <c r="J14" s="132"/>
      <c r="K14" s="132"/>
      <c r="L14" s="133"/>
      <c r="M14" s="131" t="s">
        <v>77</v>
      </c>
      <c r="N14" s="132"/>
      <c r="O14" s="133"/>
      <c r="P14" s="30" t="s">
        <v>271</v>
      </c>
      <c r="Q14" s="55">
        <v>30274.59</v>
      </c>
      <c r="R14" s="79">
        <f t="shared" si="2"/>
        <v>6054.9180000000006</v>
      </c>
      <c r="S14" s="32">
        <f t="shared" si="0"/>
        <v>36329.508000000002</v>
      </c>
      <c r="T14" s="121"/>
      <c r="U14" s="121"/>
      <c r="V14" s="120">
        <f t="shared" si="3"/>
        <v>287.00311320000003</v>
      </c>
      <c r="W14" s="55">
        <f t="shared" si="1"/>
        <v>36616.511113200002</v>
      </c>
      <c r="X14" s="30" t="s">
        <v>324</v>
      </c>
      <c r="Y14" s="30" t="s">
        <v>334</v>
      </c>
      <c r="Z14" s="38" t="s">
        <v>96</v>
      </c>
    </row>
    <row r="15" spans="1:32" ht="61.5" customHeight="1" thickBot="1" x14ac:dyDescent="0.25">
      <c r="A15" s="28">
        <v>8</v>
      </c>
      <c r="B15" s="29" t="s">
        <v>288</v>
      </c>
      <c r="C15" s="35" t="s">
        <v>308</v>
      </c>
      <c r="D15" s="119" t="s">
        <v>33</v>
      </c>
      <c r="E15" s="127" t="s">
        <v>335</v>
      </c>
      <c r="F15" s="128"/>
      <c r="G15" s="122"/>
      <c r="H15" s="122"/>
      <c r="I15" s="131" t="s">
        <v>335</v>
      </c>
      <c r="J15" s="132"/>
      <c r="K15" s="132"/>
      <c r="L15" s="133"/>
      <c r="M15" s="131" t="s">
        <v>83</v>
      </c>
      <c r="N15" s="132"/>
      <c r="O15" s="133"/>
      <c r="P15" s="30" t="s">
        <v>330</v>
      </c>
      <c r="Q15" s="55">
        <v>30149.4</v>
      </c>
      <c r="R15" s="79">
        <f t="shared" si="2"/>
        <v>6029.880000000001</v>
      </c>
      <c r="S15" s="32">
        <f t="shared" si="0"/>
        <v>36179.279999999999</v>
      </c>
      <c r="T15" s="121"/>
      <c r="U15" s="121"/>
      <c r="V15" s="120">
        <f t="shared" si="3"/>
        <v>285.81631200000004</v>
      </c>
      <c r="W15" s="55">
        <f t="shared" si="1"/>
        <v>36465.096312000001</v>
      </c>
      <c r="X15" s="30" t="s">
        <v>330</v>
      </c>
      <c r="Y15" s="30" t="s">
        <v>336</v>
      </c>
      <c r="Z15" s="38" t="s">
        <v>81</v>
      </c>
    </row>
    <row r="16" spans="1:32" ht="51" customHeight="1" thickBot="1" x14ac:dyDescent="0.25">
      <c r="A16" s="28">
        <v>9</v>
      </c>
      <c r="B16" s="29" t="s">
        <v>289</v>
      </c>
      <c r="C16" s="35" t="s">
        <v>309</v>
      </c>
      <c r="D16" s="119" t="s">
        <v>33</v>
      </c>
      <c r="E16" s="127" t="s">
        <v>337</v>
      </c>
      <c r="F16" s="128"/>
      <c r="G16" s="122"/>
      <c r="H16" s="122"/>
      <c r="I16" s="131" t="s">
        <v>337</v>
      </c>
      <c r="J16" s="132"/>
      <c r="K16" s="132"/>
      <c r="L16" s="133"/>
      <c r="M16" s="131" t="s">
        <v>82</v>
      </c>
      <c r="N16" s="132"/>
      <c r="O16" s="133"/>
      <c r="P16" s="30" t="s">
        <v>330</v>
      </c>
      <c r="Q16" s="55">
        <v>44056.5</v>
      </c>
      <c r="R16" s="79">
        <f t="shared" si="2"/>
        <v>8811.3000000000011</v>
      </c>
      <c r="S16" s="32">
        <f t="shared" si="0"/>
        <v>52867.8</v>
      </c>
      <c r="T16" s="121"/>
      <c r="U16" s="121"/>
      <c r="V16" s="120">
        <f t="shared" si="3"/>
        <v>417.65562</v>
      </c>
      <c r="W16" s="55">
        <f t="shared" si="1"/>
        <v>53285.455620000001</v>
      </c>
      <c r="X16" s="30" t="s">
        <v>338</v>
      </c>
      <c r="Y16" s="30" t="s">
        <v>339</v>
      </c>
      <c r="Z16" s="38" t="s">
        <v>109</v>
      </c>
    </row>
    <row r="17" spans="1:26" ht="51" customHeight="1" thickBot="1" x14ac:dyDescent="0.25">
      <c r="A17" s="28">
        <v>10</v>
      </c>
      <c r="B17" s="29" t="s">
        <v>290</v>
      </c>
      <c r="C17" s="35" t="s">
        <v>310</v>
      </c>
      <c r="D17" s="119" t="s">
        <v>33</v>
      </c>
      <c r="E17" s="127" t="s">
        <v>337</v>
      </c>
      <c r="F17" s="128"/>
      <c r="G17" s="122"/>
      <c r="H17" s="122"/>
      <c r="I17" s="131" t="s">
        <v>337</v>
      </c>
      <c r="J17" s="132"/>
      <c r="K17" s="132"/>
      <c r="L17" s="133"/>
      <c r="M17" s="131" t="s">
        <v>82</v>
      </c>
      <c r="N17" s="132"/>
      <c r="O17" s="133"/>
      <c r="P17" s="30" t="s">
        <v>340</v>
      </c>
      <c r="Q17" s="55">
        <v>44056.5</v>
      </c>
      <c r="R17" s="79">
        <f t="shared" si="2"/>
        <v>8811.3000000000011</v>
      </c>
      <c r="S17" s="32">
        <f t="shared" si="0"/>
        <v>52867.8</v>
      </c>
      <c r="T17" s="121"/>
      <c r="U17" s="121"/>
      <c r="V17" s="120">
        <f t="shared" si="3"/>
        <v>417.65562</v>
      </c>
      <c r="W17" s="55">
        <f t="shared" si="1"/>
        <v>53285.455620000001</v>
      </c>
      <c r="X17" s="30" t="s">
        <v>341</v>
      </c>
      <c r="Y17" s="30" t="s">
        <v>342</v>
      </c>
      <c r="Z17" s="38" t="s">
        <v>109</v>
      </c>
    </row>
    <row r="18" spans="1:26" ht="56.25" customHeight="1" thickBot="1" x14ac:dyDescent="0.25">
      <c r="A18" s="28">
        <v>11</v>
      </c>
      <c r="B18" s="29" t="s">
        <v>291</v>
      </c>
      <c r="C18" s="35" t="s">
        <v>311</v>
      </c>
      <c r="D18" s="119" t="s">
        <v>33</v>
      </c>
      <c r="E18" s="127" t="s">
        <v>343</v>
      </c>
      <c r="F18" s="128"/>
      <c r="G18" s="122"/>
      <c r="H18" s="122"/>
      <c r="I18" s="131" t="s">
        <v>343</v>
      </c>
      <c r="J18" s="132"/>
      <c r="K18" s="132"/>
      <c r="L18" s="133"/>
      <c r="M18" s="131" t="s">
        <v>83</v>
      </c>
      <c r="N18" s="132"/>
      <c r="O18" s="133"/>
      <c r="P18" s="30" t="s">
        <v>344</v>
      </c>
      <c r="Q18" s="55">
        <v>20571.5</v>
      </c>
      <c r="R18" s="79">
        <f t="shared" si="2"/>
        <v>4114.3</v>
      </c>
      <c r="S18" s="32">
        <f t="shared" si="0"/>
        <v>24685.8</v>
      </c>
      <c r="T18" s="121"/>
      <c r="U18" s="121"/>
      <c r="V18" s="120">
        <f t="shared" si="3"/>
        <v>195.01782</v>
      </c>
      <c r="W18" s="55">
        <f t="shared" si="1"/>
        <v>24880.81782</v>
      </c>
      <c r="X18" s="30" t="s">
        <v>344</v>
      </c>
      <c r="Y18" s="30" t="s">
        <v>345</v>
      </c>
      <c r="Z18" s="38" t="s">
        <v>79</v>
      </c>
    </row>
    <row r="19" spans="1:26" ht="56.25" customHeight="1" thickBot="1" x14ac:dyDescent="0.25">
      <c r="A19" s="28">
        <v>12</v>
      </c>
      <c r="B19" s="29" t="s">
        <v>292</v>
      </c>
      <c r="C19" s="35" t="s">
        <v>312</v>
      </c>
      <c r="D19" s="119" t="s">
        <v>33</v>
      </c>
      <c r="E19" s="127" t="s">
        <v>80</v>
      </c>
      <c r="F19" s="128"/>
      <c r="G19" s="122"/>
      <c r="H19" s="122"/>
      <c r="I19" s="131" t="s">
        <v>80</v>
      </c>
      <c r="J19" s="132"/>
      <c r="K19" s="132"/>
      <c r="L19" s="133"/>
      <c r="M19" s="131" t="s">
        <v>346</v>
      </c>
      <c r="N19" s="132"/>
      <c r="O19" s="133"/>
      <c r="P19" s="30" t="s">
        <v>330</v>
      </c>
      <c r="Q19" s="55">
        <v>54085.61</v>
      </c>
      <c r="R19" s="79">
        <f t="shared" si="2"/>
        <v>10817.122000000001</v>
      </c>
      <c r="S19" s="32">
        <f t="shared" si="0"/>
        <v>64902.732000000004</v>
      </c>
      <c r="T19" s="121"/>
      <c r="U19" s="121"/>
      <c r="V19" s="120">
        <f t="shared" si="3"/>
        <v>512.73158280000007</v>
      </c>
      <c r="W19" s="55">
        <f t="shared" si="1"/>
        <v>65415.463582800003</v>
      </c>
      <c r="X19" s="30" t="s">
        <v>330</v>
      </c>
      <c r="Y19" s="30" t="s">
        <v>347</v>
      </c>
      <c r="Z19" s="38" t="s">
        <v>81</v>
      </c>
    </row>
    <row r="20" spans="1:26" ht="51" customHeight="1" thickBot="1" x14ac:dyDescent="0.25">
      <c r="A20" s="28">
        <v>13</v>
      </c>
      <c r="B20" s="29" t="s">
        <v>293</v>
      </c>
      <c r="C20" s="35" t="s">
        <v>313</v>
      </c>
      <c r="D20" s="119" t="s">
        <v>33</v>
      </c>
      <c r="E20" s="127" t="s">
        <v>348</v>
      </c>
      <c r="F20" s="128"/>
      <c r="G20" s="122"/>
      <c r="H20" s="122"/>
      <c r="I20" s="131" t="s">
        <v>348</v>
      </c>
      <c r="J20" s="132"/>
      <c r="K20" s="132"/>
      <c r="L20" s="133"/>
      <c r="M20" s="131" t="s">
        <v>82</v>
      </c>
      <c r="N20" s="132"/>
      <c r="O20" s="133"/>
      <c r="P20" s="30" t="s">
        <v>330</v>
      </c>
      <c r="Q20" s="55">
        <v>106907.5</v>
      </c>
      <c r="R20" s="79">
        <f t="shared" si="2"/>
        <v>21381.5</v>
      </c>
      <c r="S20" s="32">
        <f t="shared" si="0"/>
        <v>128289</v>
      </c>
      <c r="T20" s="121"/>
      <c r="U20" s="121"/>
      <c r="V20" s="120">
        <f t="shared" si="3"/>
        <v>1013.4831</v>
      </c>
      <c r="W20" s="55">
        <f t="shared" si="1"/>
        <v>129302.4831</v>
      </c>
      <c r="X20" s="30" t="s">
        <v>330</v>
      </c>
      <c r="Y20" s="30" t="s">
        <v>349</v>
      </c>
      <c r="Z20" s="38" t="s">
        <v>79</v>
      </c>
    </row>
    <row r="21" spans="1:26" ht="46.5" customHeight="1" thickBot="1" x14ac:dyDescent="0.25">
      <c r="A21" s="28">
        <v>14</v>
      </c>
      <c r="B21" s="29" t="s">
        <v>294</v>
      </c>
      <c r="C21" s="35" t="s">
        <v>314</v>
      </c>
      <c r="D21" s="119" t="s">
        <v>33</v>
      </c>
      <c r="E21" s="127" t="s">
        <v>350</v>
      </c>
      <c r="F21" s="128"/>
      <c r="G21" s="122"/>
      <c r="H21" s="122"/>
      <c r="I21" s="131" t="s">
        <v>350</v>
      </c>
      <c r="J21" s="132"/>
      <c r="K21" s="132"/>
      <c r="L21" s="133"/>
      <c r="M21" s="131" t="s">
        <v>83</v>
      </c>
      <c r="N21" s="132"/>
      <c r="O21" s="133"/>
      <c r="P21" s="30" t="s">
        <v>351</v>
      </c>
      <c r="Q21" s="55">
        <v>36631.18</v>
      </c>
      <c r="R21" s="79">
        <f t="shared" si="2"/>
        <v>7326.2360000000008</v>
      </c>
      <c r="S21" s="32">
        <f t="shared" si="0"/>
        <v>43957.415999999997</v>
      </c>
      <c r="T21" s="121"/>
      <c r="U21" s="121"/>
      <c r="V21" s="120">
        <f t="shared" si="3"/>
        <v>347.26358640000001</v>
      </c>
      <c r="W21" s="55">
        <f t="shared" si="1"/>
        <v>44304.679586399994</v>
      </c>
      <c r="X21" s="30" t="s">
        <v>352</v>
      </c>
      <c r="Y21" s="30" t="s">
        <v>353</v>
      </c>
      <c r="Z21" s="38" t="s">
        <v>96</v>
      </c>
    </row>
    <row r="22" spans="1:26" ht="62.25" customHeight="1" thickBot="1" x14ac:dyDescent="0.25">
      <c r="A22" s="28">
        <v>15</v>
      </c>
      <c r="B22" s="29" t="s">
        <v>295</v>
      </c>
      <c r="C22" s="35" t="s">
        <v>315</v>
      </c>
      <c r="D22" s="119" t="s">
        <v>33</v>
      </c>
      <c r="E22" s="127" t="s">
        <v>354</v>
      </c>
      <c r="F22" s="128"/>
      <c r="G22" s="122"/>
      <c r="H22" s="122"/>
      <c r="I22" s="131" t="s">
        <v>354</v>
      </c>
      <c r="J22" s="132"/>
      <c r="K22" s="132"/>
      <c r="L22" s="133"/>
      <c r="M22" s="131" t="s">
        <v>82</v>
      </c>
      <c r="N22" s="132"/>
      <c r="O22" s="133"/>
      <c r="P22" s="30" t="s">
        <v>355</v>
      </c>
      <c r="Q22" s="55">
        <v>8066.63</v>
      </c>
      <c r="R22" s="79">
        <f t="shared" si="2"/>
        <v>1613.326</v>
      </c>
      <c r="S22" s="32">
        <f t="shared" si="0"/>
        <v>9679.9560000000001</v>
      </c>
      <c r="T22" s="121"/>
      <c r="U22" s="121"/>
      <c r="V22" s="120">
        <f t="shared" si="3"/>
        <v>76.471652400000011</v>
      </c>
      <c r="W22" s="55">
        <f t="shared" si="1"/>
        <v>9756.4276523999997</v>
      </c>
      <c r="X22" s="30" t="s">
        <v>355</v>
      </c>
      <c r="Y22" s="30" t="s">
        <v>356</v>
      </c>
      <c r="Z22" s="38" t="s">
        <v>90</v>
      </c>
    </row>
    <row r="23" spans="1:26" ht="54" customHeight="1" thickBot="1" x14ac:dyDescent="0.25">
      <c r="A23" s="28">
        <v>16</v>
      </c>
      <c r="B23" s="29" t="s">
        <v>296</v>
      </c>
      <c r="C23" s="35" t="s">
        <v>316</v>
      </c>
      <c r="D23" s="119" t="s">
        <v>33</v>
      </c>
      <c r="E23" s="127" t="s">
        <v>357</v>
      </c>
      <c r="F23" s="128"/>
      <c r="G23" s="122"/>
      <c r="H23" s="122"/>
      <c r="I23" s="131" t="s">
        <v>357</v>
      </c>
      <c r="J23" s="132"/>
      <c r="K23" s="132"/>
      <c r="L23" s="133"/>
      <c r="M23" s="131" t="s">
        <v>78</v>
      </c>
      <c r="N23" s="132"/>
      <c r="O23" s="133"/>
      <c r="P23" s="30" t="s">
        <v>299</v>
      </c>
      <c r="Q23" s="55">
        <v>6119.38</v>
      </c>
      <c r="R23" s="79">
        <f t="shared" si="2"/>
        <v>1223.876</v>
      </c>
      <c r="S23" s="32">
        <f t="shared" si="0"/>
        <v>7343.2560000000003</v>
      </c>
      <c r="T23" s="121"/>
      <c r="U23" s="121"/>
      <c r="V23" s="120">
        <f t="shared" si="3"/>
        <v>58.011722400000004</v>
      </c>
      <c r="W23" s="55">
        <f t="shared" si="1"/>
        <v>7401.2677223999999</v>
      </c>
      <c r="X23" s="30" t="s">
        <v>355</v>
      </c>
      <c r="Y23" s="30" t="s">
        <v>358</v>
      </c>
      <c r="Z23" s="38" t="s">
        <v>81</v>
      </c>
    </row>
    <row r="24" spans="1:26" ht="47.25" customHeight="1" thickBot="1" x14ac:dyDescent="0.25">
      <c r="A24" s="28">
        <v>17</v>
      </c>
      <c r="B24" s="29" t="s">
        <v>297</v>
      </c>
      <c r="C24" s="35" t="s">
        <v>317</v>
      </c>
      <c r="D24" s="119" t="s">
        <v>33</v>
      </c>
      <c r="E24" s="127" t="s">
        <v>359</v>
      </c>
      <c r="F24" s="128"/>
      <c r="G24" s="122"/>
      <c r="H24" s="122"/>
      <c r="I24" s="131" t="s">
        <v>359</v>
      </c>
      <c r="J24" s="132"/>
      <c r="K24" s="132"/>
      <c r="L24" s="133"/>
      <c r="M24" s="131" t="s">
        <v>77</v>
      </c>
      <c r="N24" s="132"/>
      <c r="O24" s="133"/>
      <c r="P24" s="30" t="s">
        <v>355</v>
      </c>
      <c r="Q24" s="55">
        <v>41259.919999999998</v>
      </c>
      <c r="R24" s="79">
        <f t="shared" si="2"/>
        <v>8251.9840000000004</v>
      </c>
      <c r="S24" s="32">
        <f t="shared" si="0"/>
        <v>49511.903999999995</v>
      </c>
      <c r="T24" s="121"/>
      <c r="U24" s="121"/>
      <c r="V24" s="120">
        <f t="shared" si="3"/>
        <v>391.14404159999998</v>
      </c>
      <c r="W24" s="55">
        <f t="shared" si="1"/>
        <v>49903.048041599992</v>
      </c>
      <c r="X24" s="30" t="s">
        <v>360</v>
      </c>
      <c r="Y24" s="30" t="s">
        <v>361</v>
      </c>
      <c r="Z24" s="38" t="s">
        <v>76</v>
      </c>
    </row>
    <row r="25" spans="1:26" ht="52.5" customHeight="1" thickBot="1" x14ac:dyDescent="0.35">
      <c r="A25" s="28">
        <v>18</v>
      </c>
      <c r="B25" s="29"/>
      <c r="C25" s="35"/>
      <c r="D25" s="99"/>
      <c r="E25" s="198"/>
      <c r="F25" s="199"/>
      <c r="G25" s="44"/>
      <c r="H25" s="44"/>
      <c r="I25" s="214"/>
      <c r="J25" s="215"/>
      <c r="K25" s="215"/>
      <c r="L25" s="216"/>
      <c r="M25" s="214"/>
      <c r="N25" s="215"/>
      <c r="O25" s="216"/>
      <c r="P25" s="30"/>
      <c r="Q25" s="36"/>
      <c r="R25" s="49"/>
      <c r="S25" s="31"/>
      <c r="T25" s="32"/>
      <c r="U25" s="31"/>
      <c r="V25" s="31"/>
      <c r="W25" s="36"/>
      <c r="X25" s="30"/>
      <c r="Y25" s="30"/>
      <c r="Z25" s="29"/>
    </row>
    <row r="26" spans="1:26" ht="26.25" hidden="1" customHeight="1" thickBot="1" x14ac:dyDescent="0.35">
      <c r="A26" s="28">
        <v>21</v>
      </c>
      <c r="B26" s="29"/>
      <c r="C26" s="35"/>
      <c r="D26" s="99"/>
      <c r="E26" s="94"/>
      <c r="F26" s="95"/>
      <c r="G26" s="44"/>
      <c r="H26" s="44"/>
      <c r="I26" s="96"/>
      <c r="J26" s="97"/>
      <c r="K26" s="97"/>
      <c r="L26" s="98"/>
      <c r="M26" s="96"/>
      <c r="N26" s="97"/>
      <c r="O26" s="98"/>
      <c r="P26" s="30"/>
      <c r="Q26" s="36"/>
      <c r="R26" s="49"/>
      <c r="S26" s="31"/>
      <c r="T26" s="32"/>
      <c r="U26" s="31"/>
      <c r="V26" s="31"/>
      <c r="W26" s="36"/>
      <c r="X26" s="30"/>
      <c r="Y26" s="30"/>
      <c r="Z26" s="29"/>
    </row>
    <row r="27" spans="1:26" ht="26.25" hidden="1" customHeight="1" thickBot="1" x14ac:dyDescent="0.35">
      <c r="A27" s="28">
        <v>22</v>
      </c>
      <c r="B27" s="29"/>
      <c r="C27" s="35"/>
      <c r="D27" s="99"/>
      <c r="E27" s="94"/>
      <c r="F27" s="95"/>
      <c r="G27" s="44"/>
      <c r="H27" s="44"/>
      <c r="I27" s="96"/>
      <c r="J27" s="97"/>
      <c r="K27" s="97"/>
      <c r="L27" s="98"/>
      <c r="M27" s="96"/>
      <c r="N27" s="97"/>
      <c r="O27" s="98"/>
      <c r="P27" s="30"/>
      <c r="Q27" s="36"/>
      <c r="R27" s="49"/>
      <c r="S27" s="31"/>
      <c r="T27" s="32"/>
      <c r="U27" s="31"/>
      <c r="V27" s="31"/>
      <c r="W27" s="36"/>
      <c r="X27" s="30"/>
      <c r="Y27" s="30"/>
      <c r="Z27" s="29"/>
    </row>
    <row r="28" spans="1:26" ht="26.25" hidden="1" customHeight="1" thickBot="1" x14ac:dyDescent="0.35">
      <c r="A28" s="28">
        <v>23</v>
      </c>
      <c r="B28" s="29"/>
      <c r="C28" s="35"/>
      <c r="D28" s="99"/>
      <c r="E28" s="94"/>
      <c r="F28" s="95"/>
      <c r="G28" s="44"/>
      <c r="H28" s="44"/>
      <c r="I28" s="96"/>
      <c r="J28" s="97"/>
      <c r="K28" s="97"/>
      <c r="L28" s="98"/>
      <c r="M28" s="96"/>
      <c r="N28" s="97"/>
      <c r="O28" s="98"/>
      <c r="P28" s="30"/>
      <c r="Q28" s="36"/>
      <c r="R28" s="49"/>
      <c r="S28" s="31"/>
      <c r="T28" s="32"/>
      <c r="U28" s="31"/>
      <c r="V28" s="31"/>
      <c r="W28" s="36"/>
      <c r="X28" s="30"/>
      <c r="Y28" s="30"/>
      <c r="Z28" s="29"/>
    </row>
    <row r="29" spans="1:26" ht="26.25" hidden="1" customHeight="1" thickBot="1" x14ac:dyDescent="0.35">
      <c r="A29" s="28">
        <v>24</v>
      </c>
      <c r="B29" s="29"/>
      <c r="C29" s="35"/>
      <c r="D29" s="99"/>
      <c r="E29" s="94"/>
      <c r="F29" s="95"/>
      <c r="G29" s="44"/>
      <c r="H29" s="44"/>
      <c r="I29" s="96"/>
      <c r="J29" s="97"/>
      <c r="K29" s="97"/>
      <c r="L29" s="98"/>
      <c r="M29" s="96"/>
      <c r="N29" s="97"/>
      <c r="O29" s="98"/>
      <c r="P29" s="30"/>
      <c r="Q29" s="36"/>
      <c r="R29" s="49"/>
      <c r="S29" s="31"/>
      <c r="T29" s="32"/>
      <c r="U29" s="31"/>
      <c r="V29" s="31"/>
      <c r="W29" s="36"/>
      <c r="X29" s="30"/>
      <c r="Y29" s="30"/>
      <c r="Z29" s="29"/>
    </row>
    <row r="30" spans="1:26" ht="26.25" hidden="1" customHeight="1" thickBot="1" x14ac:dyDescent="0.35">
      <c r="A30" s="28">
        <v>25</v>
      </c>
      <c r="B30" s="29"/>
      <c r="C30" s="35"/>
      <c r="D30" s="99"/>
      <c r="E30" s="94"/>
      <c r="F30" s="95"/>
      <c r="G30" s="44"/>
      <c r="H30" s="44"/>
      <c r="I30" s="96"/>
      <c r="J30" s="97"/>
      <c r="K30" s="97"/>
      <c r="L30" s="98"/>
      <c r="M30" s="96"/>
      <c r="N30" s="97"/>
      <c r="O30" s="98"/>
      <c r="P30" s="30"/>
      <c r="Q30" s="36"/>
      <c r="R30" s="49"/>
      <c r="S30" s="31"/>
      <c r="T30" s="32"/>
      <c r="U30" s="31"/>
      <c r="V30" s="31"/>
      <c r="W30" s="36"/>
      <c r="X30" s="30"/>
      <c r="Y30" s="30"/>
      <c r="Z30" s="29"/>
    </row>
    <row r="31" spans="1:26" ht="64.5" customHeight="1" thickBot="1" x14ac:dyDescent="0.25">
      <c r="A31" s="230" t="s">
        <v>6</v>
      </c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2"/>
      <c r="Q31" s="36">
        <f>SUM(Q8:Q30)</f>
        <v>558227.65999999992</v>
      </c>
      <c r="R31" s="31">
        <f>SUM(R8:R30)</f>
        <v>111645.53200000002</v>
      </c>
      <c r="S31" s="31">
        <f>SUM(S8:S30)</f>
        <v>669873.19199999992</v>
      </c>
      <c r="T31" s="33" t="s">
        <v>30</v>
      </c>
      <c r="U31" s="31"/>
      <c r="V31" s="31">
        <f>SUM(V8:V30)</f>
        <v>5291.9982167999997</v>
      </c>
      <c r="W31" s="36">
        <f>SUM(W8:W30)</f>
        <v>675165.19021680008</v>
      </c>
      <c r="X31" s="32"/>
      <c r="Y31" s="30"/>
      <c r="Z31" s="34"/>
    </row>
    <row r="32" spans="1:26" ht="48.75" customHeight="1" thickBot="1" x14ac:dyDescent="0.4">
      <c r="A32" s="183" t="s">
        <v>28</v>
      </c>
      <c r="B32" s="184"/>
      <c r="C32" s="184"/>
      <c r="D32" s="184"/>
      <c r="E32" s="184"/>
      <c r="F32" s="184"/>
      <c r="G32" s="184"/>
      <c r="H32" s="184"/>
      <c r="I32" s="184"/>
      <c r="J32" s="184"/>
      <c r="K32" s="184"/>
      <c r="L32" s="184"/>
      <c r="M32" s="184"/>
      <c r="N32" s="184"/>
      <c r="O32" s="184"/>
      <c r="P32" s="184"/>
      <c r="Q32" s="184"/>
      <c r="R32" s="184"/>
      <c r="S32" s="185"/>
      <c r="T32" s="189" t="s">
        <v>11</v>
      </c>
      <c r="U32" s="190"/>
      <c r="V32" s="191"/>
      <c r="W32" s="192" t="s">
        <v>73</v>
      </c>
      <c r="X32" s="193"/>
      <c r="Y32" s="193"/>
      <c r="Z32" s="194"/>
    </row>
    <row r="33" spans="1:26" ht="51" customHeight="1" thickBot="1" x14ac:dyDescent="0.4">
      <c r="A33" s="183" t="s">
        <v>29</v>
      </c>
      <c r="B33" s="184"/>
      <c r="C33" s="184"/>
      <c r="D33" s="184"/>
      <c r="E33" s="184"/>
      <c r="F33" s="184"/>
      <c r="G33" s="184"/>
      <c r="H33" s="184"/>
      <c r="I33" s="184"/>
      <c r="J33" s="184"/>
      <c r="K33" s="184"/>
      <c r="L33" s="184"/>
      <c r="M33" s="184"/>
      <c r="N33" s="184"/>
      <c r="O33" s="184"/>
      <c r="P33" s="184"/>
      <c r="Q33" s="184"/>
      <c r="R33" s="184"/>
      <c r="S33" s="185"/>
      <c r="T33" s="189" t="s">
        <v>12</v>
      </c>
      <c r="U33" s="190"/>
      <c r="V33" s="191"/>
      <c r="W33" s="192" t="s">
        <v>104</v>
      </c>
      <c r="X33" s="193"/>
      <c r="Y33" s="193"/>
      <c r="Z33" s="194"/>
    </row>
    <row r="34" spans="1:26" ht="39" customHeight="1" thickBot="1" x14ac:dyDescent="0.4">
      <c r="A34" s="180"/>
      <c r="B34" s="181"/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2"/>
      <c r="T34" s="189" t="s">
        <v>13</v>
      </c>
      <c r="U34" s="190"/>
      <c r="V34" s="191"/>
      <c r="W34" s="192" t="s">
        <v>32</v>
      </c>
      <c r="X34" s="193"/>
      <c r="Y34" s="193"/>
      <c r="Z34" s="194"/>
    </row>
    <row r="35" spans="1:26" ht="57.75" customHeight="1" thickBot="1" x14ac:dyDescent="0.45">
      <c r="A35" s="177"/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s="178"/>
      <c r="N35" s="178"/>
      <c r="O35" s="178"/>
      <c r="P35" s="178"/>
      <c r="Q35" s="178"/>
      <c r="R35" s="178"/>
      <c r="S35" s="179"/>
      <c r="T35" s="189" t="s">
        <v>14</v>
      </c>
      <c r="U35" s="190"/>
      <c r="V35" s="191"/>
      <c r="W35" s="186"/>
      <c r="X35" s="187"/>
      <c r="Y35" s="187"/>
      <c r="Z35" s="188"/>
    </row>
    <row r="36" spans="1:26" ht="38.25" customHeight="1" x14ac:dyDescent="0.2">
      <c r="C36" s="2"/>
    </row>
    <row r="37" spans="1:26" ht="38.25" customHeight="1" x14ac:dyDescent="0.2"/>
    <row r="38" spans="1:26" ht="12.75" customHeight="1" x14ac:dyDescent="0.2"/>
    <row r="39" spans="1:26" ht="12.75" customHeight="1" x14ac:dyDescent="0.2"/>
    <row r="40" spans="1:26" ht="12.75" customHeight="1" x14ac:dyDescent="0.2"/>
    <row r="41" spans="1:26" ht="12.75" customHeight="1" x14ac:dyDescent="0.2"/>
    <row r="42" spans="1:26" ht="12.75" customHeight="1" x14ac:dyDescent="0.2"/>
    <row r="43" spans="1:26" ht="12.75" customHeight="1" x14ac:dyDescent="0.2"/>
  </sheetData>
  <autoFilter ref="A5:Z26" xr:uid="{00000000-0009-0000-0000-00000A000000}">
    <filterColumn colId="4" showButton="0"/>
    <filterColumn colId="5" showButton="0"/>
    <filterColumn colId="6" showButton="0"/>
    <filterColumn colId="8" showButton="0"/>
    <filterColumn colId="9" showButton="0"/>
    <filterColumn colId="10" showButton="0"/>
    <filterColumn colId="12" showButton="0"/>
    <filterColumn colId="13" showButton="0"/>
  </autoFilter>
  <mergeCells count="90">
    <mergeCell ref="E23:F23"/>
    <mergeCell ref="I23:L23"/>
    <mergeCell ref="M23:O23"/>
    <mergeCell ref="E24:F24"/>
    <mergeCell ref="E25:F25"/>
    <mergeCell ref="I24:L24"/>
    <mergeCell ref="M24:O24"/>
    <mergeCell ref="I25:L25"/>
    <mergeCell ref="M25:O25"/>
    <mergeCell ref="E21:F21"/>
    <mergeCell ref="I21:L21"/>
    <mergeCell ref="M21:O21"/>
    <mergeCell ref="E22:F22"/>
    <mergeCell ref="I22:L22"/>
    <mergeCell ref="M22:O22"/>
    <mergeCell ref="E19:F19"/>
    <mergeCell ref="I19:L19"/>
    <mergeCell ref="M19:O19"/>
    <mergeCell ref="E20:F20"/>
    <mergeCell ref="I20:L20"/>
    <mergeCell ref="M20:O20"/>
    <mergeCell ref="E17:F17"/>
    <mergeCell ref="I17:L17"/>
    <mergeCell ref="M17:O17"/>
    <mergeCell ref="E18:F18"/>
    <mergeCell ref="I18:L18"/>
    <mergeCell ref="M18:O18"/>
    <mergeCell ref="E15:F15"/>
    <mergeCell ref="I15:L15"/>
    <mergeCell ref="M15:O15"/>
    <mergeCell ref="E16:F16"/>
    <mergeCell ref="I16:L16"/>
    <mergeCell ref="M16:O16"/>
    <mergeCell ref="A34:S34"/>
    <mergeCell ref="T34:V34"/>
    <mergeCell ref="W34:Z34"/>
    <mergeCell ref="A35:S35"/>
    <mergeCell ref="T35:V35"/>
    <mergeCell ref="W35:Z35"/>
    <mergeCell ref="A31:P31"/>
    <mergeCell ref="A32:S32"/>
    <mergeCell ref="T32:V32"/>
    <mergeCell ref="W32:Z32"/>
    <mergeCell ref="A33:S33"/>
    <mergeCell ref="T33:V33"/>
    <mergeCell ref="W33:Z33"/>
    <mergeCell ref="A1:Z1"/>
    <mergeCell ref="A2:Z4"/>
    <mergeCell ref="A5:A6"/>
    <mergeCell ref="B5:B6"/>
    <mergeCell ref="C5:C6"/>
    <mergeCell ref="D5:D6"/>
    <mergeCell ref="E5:H6"/>
    <mergeCell ref="I5:L6"/>
    <mergeCell ref="M5:O6"/>
    <mergeCell ref="P5:P6"/>
    <mergeCell ref="W5:W6"/>
    <mergeCell ref="X5:X6"/>
    <mergeCell ref="Y5:Y6"/>
    <mergeCell ref="Z5:Z6"/>
    <mergeCell ref="S5:S6"/>
    <mergeCell ref="T5:T6"/>
    <mergeCell ref="U5:U6"/>
    <mergeCell ref="V5:V6"/>
    <mergeCell ref="E9:H9"/>
    <mergeCell ref="I9:L9"/>
    <mergeCell ref="M9:O9"/>
    <mergeCell ref="E8:F8"/>
    <mergeCell ref="I8:L8"/>
    <mergeCell ref="M8:O8"/>
    <mergeCell ref="Q5:Q6"/>
    <mergeCell ref="R5:R6"/>
    <mergeCell ref="E7:F7"/>
    <mergeCell ref="I7:L7"/>
    <mergeCell ref="M7:O7"/>
    <mergeCell ref="I10:L10"/>
    <mergeCell ref="M10:O10"/>
    <mergeCell ref="E11:F11"/>
    <mergeCell ref="I11:L11"/>
    <mergeCell ref="M11:O11"/>
    <mergeCell ref="E10:H10"/>
    <mergeCell ref="E14:F14"/>
    <mergeCell ref="I14:L14"/>
    <mergeCell ref="M14:O14"/>
    <mergeCell ref="E12:F12"/>
    <mergeCell ref="I12:L12"/>
    <mergeCell ref="M12:O12"/>
    <mergeCell ref="E13:F13"/>
    <mergeCell ref="I13:L13"/>
    <mergeCell ref="M13:O13"/>
  </mergeCells>
  <phoneticPr fontId="26" type="noConversion"/>
  <pageMargins left="0.9055118110236221" right="0.15748031496062992" top="0.43307086614173229" bottom="0" header="0.15748031496062992" footer="0.15748031496062992"/>
  <pageSetup paperSize="9" scale="35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F41"/>
  <sheetViews>
    <sheetView view="pageBreakPreview" topLeftCell="A13" zoomScale="60" zoomScaleNormal="56" workbookViewId="0">
      <selection activeCell="AG28" sqref="AG28"/>
    </sheetView>
  </sheetViews>
  <sheetFormatPr defaultRowHeight="12.75" x14ac:dyDescent="0.2"/>
  <cols>
    <col min="1" max="1" width="9.42578125" customWidth="1"/>
    <col min="2" max="2" width="15.140625" style="1" customWidth="1"/>
    <col min="3" max="3" width="10.42578125" style="1" customWidth="1"/>
    <col min="4" max="4" width="9.28515625" style="1" customWidth="1"/>
    <col min="5" max="5" width="17.7109375" style="1" customWidth="1"/>
    <col min="6" max="6" width="19.42578125" style="1" customWidth="1"/>
    <col min="7" max="7" width="8.5703125" style="1" hidden="1" customWidth="1"/>
    <col min="8" max="8" width="10.28515625" style="1" hidden="1" customWidth="1"/>
    <col min="9" max="9" width="5.140625" style="1" customWidth="1"/>
    <col min="10" max="10" width="5.5703125" style="1" customWidth="1"/>
    <col min="11" max="11" width="5" style="1" customWidth="1"/>
    <col min="12" max="12" width="19" style="1" customWidth="1"/>
    <col min="13" max="13" width="8.42578125" style="1" customWidth="1"/>
    <col min="14" max="14" width="8" style="1" customWidth="1"/>
    <col min="15" max="15" width="10.28515625" style="1" customWidth="1"/>
    <col min="16" max="16" width="20" style="1" customWidth="1"/>
    <col min="17" max="17" width="19.5703125" style="1" bestFit="1" customWidth="1"/>
    <col min="18" max="18" width="19.85546875" style="1" customWidth="1"/>
    <col min="19" max="19" width="19.5703125" style="1" bestFit="1" customWidth="1"/>
    <col min="20" max="20" width="17.28515625" style="1" customWidth="1"/>
    <col min="21" max="21" width="13.42578125" style="1" customWidth="1"/>
    <col min="22" max="22" width="13.85546875" style="1" customWidth="1"/>
    <col min="23" max="23" width="17.5703125" style="1" customWidth="1"/>
    <col min="24" max="24" width="24" style="1" customWidth="1"/>
    <col min="25" max="25" width="22.28515625" style="1" customWidth="1"/>
    <col min="26" max="26" width="26.7109375" style="1" bestFit="1" customWidth="1"/>
  </cols>
  <sheetData>
    <row r="1" spans="1:32" ht="30" customHeight="1" x14ac:dyDescent="0.4">
      <c r="A1" s="227" t="s">
        <v>10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9"/>
    </row>
    <row r="2" spans="1:32" ht="21" customHeight="1" x14ac:dyDescent="0.2">
      <c r="A2" s="238" t="s">
        <v>456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39"/>
      <c r="W2" s="239"/>
      <c r="X2" s="239"/>
      <c r="Y2" s="239"/>
      <c r="Z2" s="240"/>
    </row>
    <row r="3" spans="1:32" ht="20.25" customHeight="1" x14ac:dyDescent="0.2">
      <c r="A3" s="238"/>
      <c r="B3" s="239"/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39"/>
      <c r="P3" s="239"/>
      <c r="Q3" s="239"/>
      <c r="R3" s="239"/>
      <c r="S3" s="239"/>
      <c r="T3" s="239"/>
      <c r="U3" s="239"/>
      <c r="V3" s="239"/>
      <c r="W3" s="239"/>
      <c r="X3" s="239"/>
      <c r="Y3" s="239"/>
      <c r="Z3" s="240"/>
    </row>
    <row r="4" spans="1:32" ht="75.75" customHeight="1" thickBot="1" x14ac:dyDescent="0.25">
      <c r="A4" s="238"/>
      <c r="B4" s="239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40"/>
    </row>
    <row r="5" spans="1:32" s="3" customFormat="1" ht="68.25" customHeight="1" x14ac:dyDescent="0.3">
      <c r="A5" s="241" t="s">
        <v>9</v>
      </c>
      <c r="B5" s="236" t="s">
        <v>1</v>
      </c>
      <c r="C5" s="236" t="s">
        <v>2</v>
      </c>
      <c r="D5" s="236" t="s">
        <v>15</v>
      </c>
      <c r="E5" s="243" t="s">
        <v>5</v>
      </c>
      <c r="F5" s="244"/>
      <c r="G5" s="244"/>
      <c r="H5" s="245"/>
      <c r="I5" s="249" t="s">
        <v>16</v>
      </c>
      <c r="J5" s="250"/>
      <c r="K5" s="250"/>
      <c r="L5" s="251"/>
      <c r="M5" s="249" t="s">
        <v>3</v>
      </c>
      <c r="N5" s="250"/>
      <c r="O5" s="251"/>
      <c r="P5" s="236" t="s">
        <v>17</v>
      </c>
      <c r="Q5" s="236" t="s">
        <v>22</v>
      </c>
      <c r="R5" s="236" t="s">
        <v>75</v>
      </c>
      <c r="S5" s="236" t="s">
        <v>26</v>
      </c>
      <c r="T5" s="236" t="s">
        <v>27</v>
      </c>
      <c r="U5" s="236" t="s">
        <v>31</v>
      </c>
      <c r="V5" s="236" t="s">
        <v>18</v>
      </c>
      <c r="W5" s="236" t="s">
        <v>0</v>
      </c>
      <c r="X5" s="236" t="s">
        <v>8</v>
      </c>
      <c r="Y5" s="236" t="s">
        <v>7</v>
      </c>
      <c r="Z5" s="236" t="s">
        <v>4</v>
      </c>
    </row>
    <row r="6" spans="1:32" s="3" customFormat="1" ht="22.5" customHeight="1" thickBot="1" x14ac:dyDescent="0.35">
      <c r="A6" s="242"/>
      <c r="B6" s="237"/>
      <c r="C6" s="237"/>
      <c r="D6" s="237"/>
      <c r="E6" s="246"/>
      <c r="F6" s="247"/>
      <c r="G6" s="247"/>
      <c r="H6" s="248"/>
      <c r="I6" s="252"/>
      <c r="J6" s="253"/>
      <c r="K6" s="253"/>
      <c r="L6" s="254"/>
      <c r="M6" s="252"/>
      <c r="N6" s="253"/>
      <c r="O6" s="254"/>
      <c r="P6" s="237"/>
      <c r="Q6" s="237"/>
      <c r="R6" s="237"/>
      <c r="S6" s="237"/>
      <c r="T6" s="237"/>
      <c r="U6" s="237"/>
      <c r="V6" s="237"/>
      <c r="W6" s="237"/>
      <c r="X6" s="237"/>
      <c r="Y6" s="237"/>
      <c r="Z6" s="237"/>
      <c r="AA6" s="4"/>
      <c r="AB6" s="4"/>
      <c r="AC6" s="4"/>
      <c r="AD6" s="4"/>
      <c r="AE6" s="4"/>
      <c r="AF6" s="4"/>
    </row>
    <row r="7" spans="1:32" s="3" customFormat="1" ht="28.5" customHeight="1" thickBot="1" x14ac:dyDescent="0.35">
      <c r="A7" s="86"/>
      <c r="B7" s="92"/>
      <c r="C7" s="92"/>
      <c r="D7" s="92"/>
      <c r="E7" s="147"/>
      <c r="F7" s="148"/>
      <c r="G7" s="93"/>
      <c r="H7" s="93"/>
      <c r="I7" s="144"/>
      <c r="J7" s="145"/>
      <c r="K7" s="145"/>
      <c r="L7" s="146"/>
      <c r="M7" s="144"/>
      <c r="N7" s="145"/>
      <c r="O7" s="146"/>
      <c r="P7" s="92"/>
      <c r="Q7" s="92" t="s">
        <v>19</v>
      </c>
      <c r="R7" s="92" t="s">
        <v>20</v>
      </c>
      <c r="S7" s="92" t="s">
        <v>21</v>
      </c>
      <c r="T7" s="92" t="s">
        <v>24</v>
      </c>
      <c r="U7" s="92" t="s">
        <v>23</v>
      </c>
      <c r="V7" s="92"/>
      <c r="W7" s="92" t="s">
        <v>25</v>
      </c>
      <c r="X7" s="92"/>
      <c r="Y7" s="92"/>
      <c r="Z7" s="92"/>
      <c r="AA7" s="4"/>
      <c r="AB7" s="4"/>
      <c r="AC7" s="4"/>
      <c r="AD7" s="4"/>
      <c r="AE7" s="4"/>
      <c r="AF7" s="4"/>
    </row>
    <row r="8" spans="1:32" ht="38.25" customHeight="1" thickBot="1" x14ac:dyDescent="0.3">
      <c r="A8" s="28">
        <v>1</v>
      </c>
      <c r="B8" s="29" t="s">
        <v>363</v>
      </c>
      <c r="C8" s="35" t="s">
        <v>383</v>
      </c>
      <c r="D8" s="99" t="s">
        <v>33</v>
      </c>
      <c r="E8" s="127" t="s">
        <v>348</v>
      </c>
      <c r="F8" s="128"/>
      <c r="G8" s="41"/>
      <c r="H8" s="41"/>
      <c r="I8" s="131" t="s">
        <v>348</v>
      </c>
      <c r="J8" s="132"/>
      <c r="K8" s="132"/>
      <c r="L8" s="133"/>
      <c r="M8" s="131" t="s">
        <v>403</v>
      </c>
      <c r="N8" s="132"/>
      <c r="O8" s="133"/>
      <c r="P8" s="30" t="s">
        <v>404</v>
      </c>
      <c r="Q8" s="36">
        <v>55883.47</v>
      </c>
      <c r="R8" s="49">
        <f>Q8*0.2</f>
        <v>11176.694000000001</v>
      </c>
      <c r="S8" s="31">
        <f t="shared" ref="S8:S26" si="0">Q8+R8</f>
        <v>67060.164000000004</v>
      </c>
      <c r="T8" s="32"/>
      <c r="U8" s="31"/>
      <c r="V8" s="31">
        <f>Q8*0.00948</f>
        <v>529.77529560000005</v>
      </c>
      <c r="W8" s="36">
        <f t="shared" ref="W8:W26" si="1">SUM(S8:V8)</f>
        <v>67589.939295600008</v>
      </c>
      <c r="X8" s="37">
        <v>45993</v>
      </c>
      <c r="Y8" s="30" t="s">
        <v>405</v>
      </c>
      <c r="Z8" s="29" t="s">
        <v>79</v>
      </c>
    </row>
    <row r="9" spans="1:32" ht="46.5" customHeight="1" thickBot="1" x14ac:dyDescent="0.25">
      <c r="A9" s="28">
        <v>2</v>
      </c>
      <c r="B9" s="29" t="s">
        <v>364</v>
      </c>
      <c r="C9" s="35" t="s">
        <v>384</v>
      </c>
      <c r="D9" s="99" t="s">
        <v>33</v>
      </c>
      <c r="E9" s="131" t="s">
        <v>406</v>
      </c>
      <c r="F9" s="132"/>
      <c r="G9" s="132"/>
      <c r="H9" s="133"/>
      <c r="I9" s="131" t="s">
        <v>406</v>
      </c>
      <c r="J9" s="132"/>
      <c r="K9" s="132"/>
      <c r="L9" s="133"/>
      <c r="M9" s="131" t="s">
        <v>83</v>
      </c>
      <c r="N9" s="132"/>
      <c r="O9" s="133"/>
      <c r="P9" s="30" t="s">
        <v>407</v>
      </c>
      <c r="Q9" s="36">
        <v>30575.71</v>
      </c>
      <c r="R9" s="49">
        <f t="shared" ref="R9:R26" si="2">Q9*0.2</f>
        <v>6115.1419999999998</v>
      </c>
      <c r="S9" s="31">
        <f t="shared" si="0"/>
        <v>36690.851999999999</v>
      </c>
      <c r="T9" s="32"/>
      <c r="U9" s="31"/>
      <c r="V9" s="31">
        <f t="shared" ref="V9:V26" si="3">Q9*0.00948</f>
        <v>289.85773080000001</v>
      </c>
      <c r="W9" s="36">
        <f t="shared" si="1"/>
        <v>36980.709730800001</v>
      </c>
      <c r="X9" s="30" t="s">
        <v>407</v>
      </c>
      <c r="Y9" s="30" t="s">
        <v>408</v>
      </c>
      <c r="Z9" s="29" t="s">
        <v>108</v>
      </c>
    </row>
    <row r="10" spans="1:32" ht="48.75" customHeight="1" thickBot="1" x14ac:dyDescent="0.25">
      <c r="A10" s="28">
        <v>3</v>
      </c>
      <c r="B10" s="29" t="s">
        <v>365</v>
      </c>
      <c r="C10" s="35" t="s">
        <v>385</v>
      </c>
      <c r="D10" s="99" t="s">
        <v>33</v>
      </c>
      <c r="E10" s="131" t="s">
        <v>406</v>
      </c>
      <c r="F10" s="132"/>
      <c r="G10" s="132"/>
      <c r="H10" s="133"/>
      <c r="I10" s="131" t="s">
        <v>406</v>
      </c>
      <c r="J10" s="132"/>
      <c r="K10" s="132"/>
      <c r="L10" s="133"/>
      <c r="M10" s="131" t="s">
        <v>83</v>
      </c>
      <c r="N10" s="132"/>
      <c r="O10" s="133"/>
      <c r="P10" s="30" t="s">
        <v>204</v>
      </c>
      <c r="Q10" s="36">
        <v>12690.57</v>
      </c>
      <c r="R10" s="49">
        <f t="shared" si="2"/>
        <v>2538.114</v>
      </c>
      <c r="S10" s="31">
        <f t="shared" si="0"/>
        <v>15228.683999999999</v>
      </c>
      <c r="T10" s="32"/>
      <c r="U10" s="31"/>
      <c r="V10" s="31">
        <f t="shared" si="3"/>
        <v>120.3066036</v>
      </c>
      <c r="W10" s="36">
        <f t="shared" si="1"/>
        <v>15348.990603599999</v>
      </c>
      <c r="X10" s="85">
        <v>45954</v>
      </c>
      <c r="Y10" s="30" t="s">
        <v>409</v>
      </c>
      <c r="Z10" s="29" t="s">
        <v>108</v>
      </c>
    </row>
    <row r="11" spans="1:32" ht="54" customHeight="1" thickBot="1" x14ac:dyDescent="0.3">
      <c r="A11" s="28">
        <v>4</v>
      </c>
      <c r="B11" s="29" t="s">
        <v>366</v>
      </c>
      <c r="C11" s="35" t="s">
        <v>386</v>
      </c>
      <c r="D11" s="99" t="s">
        <v>33</v>
      </c>
      <c r="E11" s="127" t="s">
        <v>406</v>
      </c>
      <c r="F11" s="128"/>
      <c r="G11" s="41"/>
      <c r="H11" s="41"/>
      <c r="I11" s="131" t="s">
        <v>406</v>
      </c>
      <c r="J11" s="132"/>
      <c r="K11" s="132"/>
      <c r="L11" s="133"/>
      <c r="M11" s="131" t="s">
        <v>83</v>
      </c>
      <c r="N11" s="132"/>
      <c r="O11" s="133"/>
      <c r="P11" s="30" t="s">
        <v>410</v>
      </c>
      <c r="Q11" s="36">
        <v>22229.31</v>
      </c>
      <c r="R11" s="49">
        <f t="shared" si="2"/>
        <v>4445.8620000000001</v>
      </c>
      <c r="S11" s="31">
        <f t="shared" si="0"/>
        <v>26675.172000000002</v>
      </c>
      <c r="T11" s="32"/>
      <c r="U11" s="31"/>
      <c r="V11" s="31">
        <f t="shared" si="3"/>
        <v>210.73385880000004</v>
      </c>
      <c r="W11" s="36">
        <f t="shared" si="1"/>
        <v>26885.905858800001</v>
      </c>
      <c r="X11" s="30" t="s">
        <v>407</v>
      </c>
      <c r="Y11" s="30" t="s">
        <v>411</v>
      </c>
      <c r="Z11" s="29" t="s">
        <v>108</v>
      </c>
    </row>
    <row r="12" spans="1:32" ht="60.75" customHeight="1" thickBot="1" x14ac:dyDescent="0.3">
      <c r="A12" s="28">
        <v>5</v>
      </c>
      <c r="B12" s="29" t="s">
        <v>367</v>
      </c>
      <c r="C12" s="35" t="s">
        <v>387</v>
      </c>
      <c r="D12" s="99" t="s">
        <v>33</v>
      </c>
      <c r="E12" s="127" t="s">
        <v>412</v>
      </c>
      <c r="F12" s="128"/>
      <c r="G12" s="41"/>
      <c r="H12" s="41"/>
      <c r="I12" s="131" t="s">
        <v>412</v>
      </c>
      <c r="J12" s="132"/>
      <c r="K12" s="132"/>
      <c r="L12" s="133"/>
      <c r="M12" s="131" t="s">
        <v>77</v>
      </c>
      <c r="N12" s="132"/>
      <c r="O12" s="133"/>
      <c r="P12" s="30" t="s">
        <v>413</v>
      </c>
      <c r="Q12" s="36">
        <v>10684.93</v>
      </c>
      <c r="R12" s="49">
        <f t="shared" si="2"/>
        <v>2136.9860000000003</v>
      </c>
      <c r="S12" s="31">
        <f t="shared" si="0"/>
        <v>12821.916000000001</v>
      </c>
      <c r="T12" s="32"/>
      <c r="U12" s="31"/>
      <c r="V12" s="31">
        <f t="shared" si="3"/>
        <v>101.29313640000001</v>
      </c>
      <c r="W12" s="36">
        <f t="shared" si="1"/>
        <v>12923.209136400001</v>
      </c>
      <c r="X12" s="30" t="s">
        <v>413</v>
      </c>
      <c r="Y12" s="30" t="s">
        <v>414</v>
      </c>
      <c r="Z12" s="29" t="s">
        <v>81</v>
      </c>
    </row>
    <row r="13" spans="1:32" ht="62.25" customHeight="1" thickBot="1" x14ac:dyDescent="0.3">
      <c r="A13" s="28">
        <v>6</v>
      </c>
      <c r="B13" s="29" t="s">
        <v>368</v>
      </c>
      <c r="C13" s="35" t="s">
        <v>388</v>
      </c>
      <c r="D13" s="99" t="s">
        <v>33</v>
      </c>
      <c r="E13" s="127" t="s">
        <v>98</v>
      </c>
      <c r="F13" s="128"/>
      <c r="G13" s="41"/>
      <c r="H13" s="41"/>
      <c r="I13" s="131" t="s">
        <v>98</v>
      </c>
      <c r="J13" s="132"/>
      <c r="K13" s="132"/>
      <c r="L13" s="133"/>
      <c r="M13" s="131" t="s">
        <v>77</v>
      </c>
      <c r="N13" s="132"/>
      <c r="O13" s="133"/>
      <c r="P13" s="30" t="s">
        <v>415</v>
      </c>
      <c r="Q13" s="36">
        <v>15702.53</v>
      </c>
      <c r="R13" s="49">
        <f t="shared" si="2"/>
        <v>3140.5060000000003</v>
      </c>
      <c r="S13" s="31">
        <f t="shared" si="0"/>
        <v>18843.036</v>
      </c>
      <c r="T13" s="32"/>
      <c r="U13" s="31"/>
      <c r="V13" s="31">
        <f t="shared" si="3"/>
        <v>148.8599844</v>
      </c>
      <c r="W13" s="36">
        <f t="shared" si="1"/>
        <v>18991.895984399998</v>
      </c>
      <c r="X13" s="30" t="s">
        <v>415</v>
      </c>
      <c r="Y13" s="30" t="s">
        <v>416</v>
      </c>
      <c r="Z13" s="29" t="s">
        <v>84</v>
      </c>
    </row>
    <row r="14" spans="1:32" ht="36.75" customHeight="1" thickBot="1" x14ac:dyDescent="0.3">
      <c r="A14" s="28">
        <v>7</v>
      </c>
      <c r="B14" s="29" t="s">
        <v>369</v>
      </c>
      <c r="C14" s="35" t="s">
        <v>389</v>
      </c>
      <c r="D14" s="99" t="s">
        <v>33</v>
      </c>
      <c r="E14" s="127" t="s">
        <v>417</v>
      </c>
      <c r="F14" s="128"/>
      <c r="G14" s="41"/>
      <c r="H14" s="41"/>
      <c r="I14" s="131" t="s">
        <v>417</v>
      </c>
      <c r="J14" s="132"/>
      <c r="K14" s="132"/>
      <c r="L14" s="133"/>
      <c r="M14" s="131" t="s">
        <v>403</v>
      </c>
      <c r="N14" s="132"/>
      <c r="O14" s="133"/>
      <c r="P14" s="30" t="s">
        <v>415</v>
      </c>
      <c r="Q14" s="36">
        <v>15954.9</v>
      </c>
      <c r="R14" s="49">
        <f t="shared" si="2"/>
        <v>3190.98</v>
      </c>
      <c r="S14" s="31">
        <f t="shared" si="0"/>
        <v>19145.88</v>
      </c>
      <c r="T14" s="32"/>
      <c r="U14" s="31"/>
      <c r="V14" s="31">
        <f t="shared" si="3"/>
        <v>151.25245200000001</v>
      </c>
      <c r="W14" s="36">
        <f t="shared" si="1"/>
        <v>19297.132452000002</v>
      </c>
      <c r="X14" s="30" t="s">
        <v>418</v>
      </c>
      <c r="Y14" s="30" t="s">
        <v>419</v>
      </c>
      <c r="Z14" s="29" t="s">
        <v>79</v>
      </c>
    </row>
    <row r="15" spans="1:32" ht="38.25" customHeight="1" thickBot="1" x14ac:dyDescent="0.3">
      <c r="A15" s="28">
        <v>8</v>
      </c>
      <c r="B15" s="29" t="s">
        <v>370</v>
      </c>
      <c r="C15" s="35" t="s">
        <v>390</v>
      </c>
      <c r="D15" s="123" t="s">
        <v>33</v>
      </c>
      <c r="E15" s="127" t="s">
        <v>422</v>
      </c>
      <c r="F15" s="128"/>
      <c r="G15" s="41"/>
      <c r="H15" s="41"/>
      <c r="I15" s="131" t="s">
        <v>420</v>
      </c>
      <c r="J15" s="132"/>
      <c r="K15" s="132"/>
      <c r="L15" s="133"/>
      <c r="M15" s="131" t="s">
        <v>83</v>
      </c>
      <c r="N15" s="132"/>
      <c r="O15" s="133"/>
      <c r="P15" s="30" t="s">
        <v>421</v>
      </c>
      <c r="Q15" s="36">
        <v>18318.62</v>
      </c>
      <c r="R15" s="49">
        <f t="shared" si="2"/>
        <v>3663.7240000000002</v>
      </c>
      <c r="S15" s="31">
        <f t="shared" si="0"/>
        <v>21982.343999999997</v>
      </c>
      <c r="T15" s="32"/>
      <c r="U15" s="31"/>
      <c r="V15" s="31">
        <f t="shared" si="3"/>
        <v>173.66051759999999</v>
      </c>
      <c r="W15" s="36">
        <f t="shared" si="1"/>
        <v>22156.004517599999</v>
      </c>
      <c r="X15" s="30" t="s">
        <v>421</v>
      </c>
      <c r="Y15" s="30" t="s">
        <v>423</v>
      </c>
      <c r="Z15" s="29" t="s">
        <v>79</v>
      </c>
    </row>
    <row r="16" spans="1:32" ht="42" customHeight="1" thickBot="1" x14ac:dyDescent="0.3">
      <c r="A16" s="28">
        <v>9</v>
      </c>
      <c r="B16" s="29" t="s">
        <v>371</v>
      </c>
      <c r="C16" s="35" t="s">
        <v>391</v>
      </c>
      <c r="D16" s="123" t="s">
        <v>33</v>
      </c>
      <c r="E16" s="127" t="s">
        <v>424</v>
      </c>
      <c r="F16" s="128"/>
      <c r="G16" s="41"/>
      <c r="H16" s="41"/>
      <c r="I16" s="131" t="s">
        <v>424</v>
      </c>
      <c r="J16" s="132"/>
      <c r="K16" s="132"/>
      <c r="L16" s="133"/>
      <c r="M16" s="131" t="s">
        <v>425</v>
      </c>
      <c r="N16" s="132"/>
      <c r="O16" s="133"/>
      <c r="P16" s="30" t="s">
        <v>426</v>
      </c>
      <c r="Q16" s="36">
        <v>96087.29</v>
      </c>
      <c r="R16" s="49">
        <f t="shared" si="2"/>
        <v>19217.457999999999</v>
      </c>
      <c r="S16" s="31">
        <f t="shared" si="0"/>
        <v>115304.74799999999</v>
      </c>
      <c r="T16" s="32"/>
      <c r="U16" s="31"/>
      <c r="V16" s="31">
        <f t="shared" si="3"/>
        <v>910.90750920000005</v>
      </c>
      <c r="W16" s="36">
        <f t="shared" si="1"/>
        <v>116215.65550919999</v>
      </c>
      <c r="X16" s="30" t="s">
        <v>427</v>
      </c>
      <c r="Y16" s="30" t="s">
        <v>428</v>
      </c>
      <c r="Z16" s="29" t="s">
        <v>79</v>
      </c>
    </row>
    <row r="17" spans="1:26" ht="42" customHeight="1" thickBot="1" x14ac:dyDescent="0.3">
      <c r="A17" s="28">
        <v>10</v>
      </c>
      <c r="B17" s="29" t="s">
        <v>372</v>
      </c>
      <c r="C17" s="35" t="s">
        <v>392</v>
      </c>
      <c r="D17" s="123" t="s">
        <v>33</v>
      </c>
      <c r="E17" s="127" t="s">
        <v>429</v>
      </c>
      <c r="F17" s="128"/>
      <c r="G17" s="41"/>
      <c r="H17" s="41"/>
      <c r="I17" s="131" t="s">
        <v>429</v>
      </c>
      <c r="J17" s="132"/>
      <c r="K17" s="132"/>
      <c r="L17" s="133"/>
      <c r="M17" s="131" t="s">
        <v>78</v>
      </c>
      <c r="N17" s="132"/>
      <c r="O17" s="133"/>
      <c r="P17" s="30" t="s">
        <v>430</v>
      </c>
      <c r="Q17" s="36">
        <v>11315.08</v>
      </c>
      <c r="R17" s="49">
        <f t="shared" si="2"/>
        <v>2263.0160000000001</v>
      </c>
      <c r="S17" s="31">
        <f t="shared" si="0"/>
        <v>13578.096</v>
      </c>
      <c r="T17" s="32"/>
      <c r="U17" s="31"/>
      <c r="V17" s="31">
        <f t="shared" si="3"/>
        <v>107.26695840000001</v>
      </c>
      <c r="W17" s="36">
        <f t="shared" si="1"/>
        <v>13685.362958399999</v>
      </c>
      <c r="X17" s="30" t="s">
        <v>415</v>
      </c>
      <c r="Y17" s="30" t="s">
        <v>431</v>
      </c>
      <c r="Z17" s="29" t="s">
        <v>89</v>
      </c>
    </row>
    <row r="18" spans="1:26" ht="31.5" customHeight="1" thickBot="1" x14ac:dyDescent="0.3">
      <c r="A18" s="28">
        <v>11</v>
      </c>
      <c r="B18" s="29" t="s">
        <v>373</v>
      </c>
      <c r="C18" s="35" t="s">
        <v>393</v>
      </c>
      <c r="D18" s="123" t="s">
        <v>33</v>
      </c>
      <c r="E18" s="127" t="s">
        <v>432</v>
      </c>
      <c r="F18" s="128"/>
      <c r="G18" s="41"/>
      <c r="H18" s="41"/>
      <c r="I18" s="131" t="s">
        <v>432</v>
      </c>
      <c r="J18" s="132"/>
      <c r="K18" s="132"/>
      <c r="L18" s="133"/>
      <c r="M18" s="131" t="s">
        <v>78</v>
      </c>
      <c r="N18" s="132"/>
      <c r="O18" s="133"/>
      <c r="P18" s="30" t="s">
        <v>433</v>
      </c>
      <c r="Q18" s="36">
        <v>13855.2</v>
      </c>
      <c r="R18" s="49">
        <f t="shared" si="2"/>
        <v>2771.0400000000004</v>
      </c>
      <c r="S18" s="31">
        <f t="shared" si="0"/>
        <v>16626.240000000002</v>
      </c>
      <c r="T18" s="32"/>
      <c r="U18" s="31"/>
      <c r="V18" s="31">
        <f t="shared" si="3"/>
        <v>131.34729600000003</v>
      </c>
      <c r="W18" s="36">
        <f t="shared" si="1"/>
        <v>16757.587296000002</v>
      </c>
      <c r="X18" s="30" t="s">
        <v>434</v>
      </c>
      <c r="Y18" s="30" t="s">
        <v>435</v>
      </c>
      <c r="Z18" s="29" t="s">
        <v>76</v>
      </c>
    </row>
    <row r="19" spans="1:26" ht="30.75" customHeight="1" thickBot="1" x14ac:dyDescent="0.3">
      <c r="A19" s="28">
        <v>12</v>
      </c>
      <c r="B19" s="29" t="s">
        <v>374</v>
      </c>
      <c r="C19" s="35" t="s">
        <v>394</v>
      </c>
      <c r="D19" s="123" t="s">
        <v>33</v>
      </c>
      <c r="E19" s="127" t="s">
        <v>97</v>
      </c>
      <c r="F19" s="128"/>
      <c r="G19" s="41"/>
      <c r="H19" s="41"/>
      <c r="I19" s="131" t="s">
        <v>97</v>
      </c>
      <c r="J19" s="132"/>
      <c r="K19" s="132"/>
      <c r="L19" s="133"/>
      <c r="M19" s="131" t="s">
        <v>78</v>
      </c>
      <c r="N19" s="132"/>
      <c r="O19" s="133"/>
      <c r="P19" s="30" t="s">
        <v>433</v>
      </c>
      <c r="Q19" s="36">
        <v>87518.68</v>
      </c>
      <c r="R19" s="49">
        <f t="shared" si="2"/>
        <v>17503.736000000001</v>
      </c>
      <c r="S19" s="31">
        <f t="shared" si="0"/>
        <v>105022.416</v>
      </c>
      <c r="T19" s="32"/>
      <c r="U19" s="31"/>
      <c r="V19" s="31">
        <f t="shared" si="3"/>
        <v>829.67708640000001</v>
      </c>
      <c r="W19" s="36">
        <f t="shared" si="1"/>
        <v>105852.0930864</v>
      </c>
      <c r="X19" s="30" t="s">
        <v>434</v>
      </c>
      <c r="Y19" s="30" t="s">
        <v>436</v>
      </c>
      <c r="Z19" s="29" t="s">
        <v>76</v>
      </c>
    </row>
    <row r="20" spans="1:26" ht="50.25" customHeight="1" thickBot="1" x14ac:dyDescent="0.3">
      <c r="A20" s="28">
        <v>13</v>
      </c>
      <c r="B20" s="29" t="s">
        <v>375</v>
      </c>
      <c r="C20" s="35" t="s">
        <v>395</v>
      </c>
      <c r="D20" s="123" t="s">
        <v>33</v>
      </c>
      <c r="E20" s="127" t="s">
        <v>437</v>
      </c>
      <c r="F20" s="128"/>
      <c r="G20" s="41"/>
      <c r="H20" s="41"/>
      <c r="I20" s="131" t="s">
        <v>437</v>
      </c>
      <c r="J20" s="132"/>
      <c r="K20" s="132"/>
      <c r="L20" s="133"/>
      <c r="M20" s="131" t="s">
        <v>77</v>
      </c>
      <c r="N20" s="132"/>
      <c r="O20" s="133"/>
      <c r="P20" s="30" t="s">
        <v>438</v>
      </c>
      <c r="Q20" s="36">
        <v>15072.22</v>
      </c>
      <c r="R20" s="49">
        <f t="shared" si="2"/>
        <v>3014.444</v>
      </c>
      <c r="S20" s="31">
        <f t="shared" si="0"/>
        <v>18086.664000000001</v>
      </c>
      <c r="T20" s="32"/>
      <c r="U20" s="31"/>
      <c r="V20" s="31">
        <f t="shared" si="3"/>
        <v>142.8846456</v>
      </c>
      <c r="W20" s="36">
        <f t="shared" si="1"/>
        <v>18229.5486456</v>
      </c>
      <c r="X20" s="30" t="s">
        <v>438</v>
      </c>
      <c r="Y20" s="30" t="s">
        <v>439</v>
      </c>
      <c r="Z20" s="29" t="s">
        <v>76</v>
      </c>
    </row>
    <row r="21" spans="1:26" ht="40.5" customHeight="1" thickBot="1" x14ac:dyDescent="0.3">
      <c r="A21" s="28">
        <v>14</v>
      </c>
      <c r="B21" s="29" t="s">
        <v>376</v>
      </c>
      <c r="C21" s="35" t="s">
        <v>396</v>
      </c>
      <c r="D21" s="123" t="s">
        <v>33</v>
      </c>
      <c r="E21" s="127" t="s">
        <v>440</v>
      </c>
      <c r="F21" s="128"/>
      <c r="G21" s="41"/>
      <c r="H21" s="41"/>
      <c r="I21" s="131" t="s">
        <v>440</v>
      </c>
      <c r="J21" s="132"/>
      <c r="K21" s="132"/>
      <c r="L21" s="133"/>
      <c r="M21" s="131" t="s">
        <v>83</v>
      </c>
      <c r="N21" s="132"/>
      <c r="O21" s="133"/>
      <c r="P21" s="30" t="s">
        <v>441</v>
      </c>
      <c r="Q21" s="36">
        <v>40705.11</v>
      </c>
      <c r="R21" s="49">
        <f t="shared" si="2"/>
        <v>8141.0220000000008</v>
      </c>
      <c r="S21" s="31">
        <f t="shared" si="0"/>
        <v>48846.131999999998</v>
      </c>
      <c r="T21" s="32"/>
      <c r="U21" s="31"/>
      <c r="V21" s="31">
        <f t="shared" si="3"/>
        <v>385.88444280000004</v>
      </c>
      <c r="W21" s="36">
        <f t="shared" si="1"/>
        <v>49232.016442799999</v>
      </c>
      <c r="X21" s="30" t="s">
        <v>433</v>
      </c>
      <c r="Y21" s="30" t="s">
        <v>442</v>
      </c>
      <c r="Z21" s="29" t="s">
        <v>79</v>
      </c>
    </row>
    <row r="22" spans="1:26" ht="36.75" customHeight="1" thickBot="1" x14ac:dyDescent="0.3">
      <c r="A22" s="28">
        <v>15</v>
      </c>
      <c r="B22" s="29" t="s">
        <v>377</v>
      </c>
      <c r="C22" s="35" t="s">
        <v>397</v>
      </c>
      <c r="D22" s="123" t="s">
        <v>33</v>
      </c>
      <c r="E22" s="127" t="s">
        <v>443</v>
      </c>
      <c r="F22" s="128"/>
      <c r="G22" s="41"/>
      <c r="H22" s="41"/>
      <c r="I22" s="131" t="s">
        <v>443</v>
      </c>
      <c r="J22" s="132"/>
      <c r="K22" s="132"/>
      <c r="L22" s="133"/>
      <c r="M22" s="131" t="s">
        <v>83</v>
      </c>
      <c r="N22" s="132"/>
      <c r="O22" s="133"/>
      <c r="P22" s="30" t="s">
        <v>434</v>
      </c>
      <c r="Q22" s="36">
        <v>12832.2</v>
      </c>
      <c r="R22" s="49">
        <f t="shared" si="2"/>
        <v>2566.4400000000005</v>
      </c>
      <c r="S22" s="31">
        <f t="shared" si="0"/>
        <v>15398.640000000001</v>
      </c>
      <c r="T22" s="32"/>
      <c r="U22" s="31"/>
      <c r="V22" s="31">
        <f t="shared" si="3"/>
        <v>121.64925600000001</v>
      </c>
      <c r="W22" s="36">
        <f t="shared" si="1"/>
        <v>15520.289256000002</v>
      </c>
      <c r="X22" s="30" t="s">
        <v>434</v>
      </c>
      <c r="Y22" s="30" t="s">
        <v>444</v>
      </c>
      <c r="Z22" s="29" t="s">
        <v>102</v>
      </c>
    </row>
    <row r="23" spans="1:26" ht="48.75" customHeight="1" thickBot="1" x14ac:dyDescent="0.3">
      <c r="A23" s="28">
        <v>16</v>
      </c>
      <c r="B23" s="29" t="s">
        <v>378</v>
      </c>
      <c r="C23" s="35" t="s">
        <v>398</v>
      </c>
      <c r="D23" s="123" t="s">
        <v>33</v>
      </c>
      <c r="E23" s="127" t="s">
        <v>445</v>
      </c>
      <c r="F23" s="128"/>
      <c r="G23" s="41"/>
      <c r="H23" s="41"/>
      <c r="I23" s="131" t="s">
        <v>445</v>
      </c>
      <c r="J23" s="132"/>
      <c r="K23" s="132"/>
      <c r="L23" s="133"/>
      <c r="M23" s="131" t="s">
        <v>77</v>
      </c>
      <c r="N23" s="132"/>
      <c r="O23" s="133"/>
      <c r="P23" s="30" t="s">
        <v>434</v>
      </c>
      <c r="Q23" s="36">
        <v>25498.06</v>
      </c>
      <c r="R23" s="49">
        <f t="shared" si="2"/>
        <v>5099.612000000001</v>
      </c>
      <c r="S23" s="31">
        <f t="shared" si="0"/>
        <v>30597.672000000002</v>
      </c>
      <c r="T23" s="32"/>
      <c r="U23" s="31"/>
      <c r="V23" s="31">
        <f t="shared" si="3"/>
        <v>241.72160880000004</v>
      </c>
      <c r="W23" s="36">
        <f t="shared" si="1"/>
        <v>30839.393608800001</v>
      </c>
      <c r="X23" s="30" t="s">
        <v>434</v>
      </c>
      <c r="Y23" s="30" t="s">
        <v>431</v>
      </c>
      <c r="Z23" s="29" t="s">
        <v>89</v>
      </c>
    </row>
    <row r="24" spans="1:26" ht="45" customHeight="1" thickBot="1" x14ac:dyDescent="0.3">
      <c r="A24" s="28">
        <v>17</v>
      </c>
      <c r="B24" s="29" t="s">
        <v>379</v>
      </c>
      <c r="C24" s="35" t="s">
        <v>399</v>
      </c>
      <c r="D24" s="123" t="s">
        <v>33</v>
      </c>
      <c r="E24" s="127" t="s">
        <v>446</v>
      </c>
      <c r="F24" s="128"/>
      <c r="G24" s="41"/>
      <c r="H24" s="41"/>
      <c r="I24" s="131" t="s">
        <v>446</v>
      </c>
      <c r="J24" s="132"/>
      <c r="K24" s="132"/>
      <c r="L24" s="133"/>
      <c r="M24" s="131" t="s">
        <v>83</v>
      </c>
      <c r="N24" s="132"/>
      <c r="O24" s="133"/>
      <c r="P24" s="30" t="s">
        <v>438</v>
      </c>
      <c r="Q24" s="36">
        <v>43445.52</v>
      </c>
      <c r="R24" s="49">
        <f t="shared" si="2"/>
        <v>8689.1039999999994</v>
      </c>
      <c r="S24" s="31">
        <f t="shared" si="0"/>
        <v>52134.623999999996</v>
      </c>
      <c r="T24" s="32"/>
      <c r="U24" s="31"/>
      <c r="V24" s="31">
        <f t="shared" si="3"/>
        <v>411.86352959999999</v>
      </c>
      <c r="W24" s="36">
        <f t="shared" si="1"/>
        <v>52546.487529599995</v>
      </c>
      <c r="X24" s="30" t="s">
        <v>438</v>
      </c>
      <c r="Y24" s="30" t="s">
        <v>447</v>
      </c>
      <c r="Z24" s="29" t="s">
        <v>76</v>
      </c>
    </row>
    <row r="25" spans="1:26" ht="34.5" customHeight="1" thickBot="1" x14ac:dyDescent="0.3">
      <c r="A25" s="28">
        <v>18</v>
      </c>
      <c r="B25" s="29" t="s">
        <v>380</v>
      </c>
      <c r="C25" s="35" t="s">
        <v>400</v>
      </c>
      <c r="D25" s="123" t="s">
        <v>33</v>
      </c>
      <c r="E25" s="127" t="s">
        <v>448</v>
      </c>
      <c r="F25" s="128"/>
      <c r="G25" s="41"/>
      <c r="H25" s="41"/>
      <c r="I25" s="131" t="s">
        <v>448</v>
      </c>
      <c r="J25" s="132"/>
      <c r="K25" s="132"/>
      <c r="L25" s="133"/>
      <c r="M25" s="131" t="s">
        <v>77</v>
      </c>
      <c r="N25" s="132"/>
      <c r="O25" s="133"/>
      <c r="P25" s="30" t="s">
        <v>433</v>
      </c>
      <c r="Q25" s="36">
        <v>12831.75</v>
      </c>
      <c r="R25" s="49">
        <f t="shared" si="2"/>
        <v>2566.3500000000004</v>
      </c>
      <c r="S25" s="31">
        <f t="shared" si="0"/>
        <v>15398.1</v>
      </c>
      <c r="T25" s="32"/>
      <c r="U25" s="31"/>
      <c r="V25" s="31">
        <f t="shared" si="3"/>
        <v>121.64499000000001</v>
      </c>
      <c r="W25" s="36">
        <f t="shared" si="1"/>
        <v>15519.744990000001</v>
      </c>
      <c r="X25" s="30" t="s">
        <v>433</v>
      </c>
      <c r="Y25" s="30" t="s">
        <v>449</v>
      </c>
      <c r="Z25" s="29" t="s">
        <v>90</v>
      </c>
    </row>
    <row r="26" spans="1:26" ht="42" customHeight="1" thickBot="1" x14ac:dyDescent="0.3">
      <c r="A26" s="28">
        <v>19</v>
      </c>
      <c r="B26" s="29" t="s">
        <v>381</v>
      </c>
      <c r="C26" s="35" t="s">
        <v>401</v>
      </c>
      <c r="D26" s="123" t="s">
        <v>33</v>
      </c>
      <c r="E26" s="127" t="s">
        <v>451</v>
      </c>
      <c r="F26" s="128"/>
      <c r="G26" s="41"/>
      <c r="H26" s="41"/>
      <c r="I26" s="131" t="s">
        <v>451</v>
      </c>
      <c r="J26" s="132"/>
      <c r="K26" s="132"/>
      <c r="L26" s="133"/>
      <c r="M26" s="131" t="s">
        <v>403</v>
      </c>
      <c r="N26" s="132"/>
      <c r="O26" s="133"/>
      <c r="P26" s="30" t="s">
        <v>434</v>
      </c>
      <c r="Q26" s="36">
        <v>145782.96</v>
      </c>
      <c r="R26" s="49">
        <f t="shared" si="2"/>
        <v>29156.592000000001</v>
      </c>
      <c r="S26" s="31">
        <f t="shared" si="0"/>
        <v>174939.552</v>
      </c>
      <c r="T26" s="32"/>
      <c r="U26" s="31"/>
      <c r="V26" s="31">
        <f t="shared" si="3"/>
        <v>1382.0224608000001</v>
      </c>
      <c r="W26" s="36">
        <f t="shared" si="1"/>
        <v>176321.57446080001</v>
      </c>
      <c r="X26" s="30" t="s">
        <v>434</v>
      </c>
      <c r="Y26" s="30" t="s">
        <v>450</v>
      </c>
      <c r="Z26" s="29" t="s">
        <v>90</v>
      </c>
    </row>
    <row r="27" spans="1:26" ht="42" customHeight="1" thickBot="1" x14ac:dyDescent="0.3">
      <c r="A27" s="28">
        <v>20</v>
      </c>
      <c r="B27" s="29" t="s">
        <v>382</v>
      </c>
      <c r="C27" s="35" t="s">
        <v>402</v>
      </c>
      <c r="D27" s="124" t="s">
        <v>33</v>
      </c>
      <c r="E27" s="127" t="s">
        <v>451</v>
      </c>
      <c r="F27" s="128"/>
      <c r="G27" s="41"/>
      <c r="H27" s="41"/>
      <c r="I27" s="131" t="s">
        <v>451</v>
      </c>
      <c r="J27" s="132"/>
      <c r="K27" s="132"/>
      <c r="L27" s="133"/>
      <c r="M27" s="131" t="s">
        <v>452</v>
      </c>
      <c r="N27" s="132"/>
      <c r="O27" s="133"/>
      <c r="P27" s="30" t="s">
        <v>434</v>
      </c>
      <c r="Q27" s="36">
        <v>25663.5</v>
      </c>
      <c r="R27" s="49">
        <f t="shared" ref="R27:R28" si="4">Q27*0.2</f>
        <v>5132.7000000000007</v>
      </c>
      <c r="S27" s="31">
        <f t="shared" ref="S27:S28" si="5">Q27+R27</f>
        <v>30796.2</v>
      </c>
      <c r="T27" s="32"/>
      <c r="U27" s="31"/>
      <c r="V27" s="31">
        <f t="shared" ref="V27:V28" si="6">Q27*0.00948</f>
        <v>243.28998000000001</v>
      </c>
      <c r="W27" s="36">
        <f t="shared" ref="W27:W28" si="7">SUM(S27:V27)</f>
        <v>31039.489980000002</v>
      </c>
      <c r="X27" s="30" t="s">
        <v>453</v>
      </c>
      <c r="Y27" s="30" t="s">
        <v>454</v>
      </c>
      <c r="Z27" s="29" t="s">
        <v>90</v>
      </c>
    </row>
    <row r="28" spans="1:26" ht="41.25" customHeight="1" thickBot="1" x14ac:dyDescent="0.3">
      <c r="A28" s="28">
        <v>21</v>
      </c>
      <c r="B28" s="29" t="s">
        <v>457</v>
      </c>
      <c r="C28" s="35" t="s">
        <v>458</v>
      </c>
      <c r="D28" s="123" t="s">
        <v>33</v>
      </c>
      <c r="E28" s="127" t="s">
        <v>459</v>
      </c>
      <c r="F28" s="128"/>
      <c r="G28" s="41"/>
      <c r="H28" s="41"/>
      <c r="I28" s="131" t="s">
        <v>459</v>
      </c>
      <c r="J28" s="132"/>
      <c r="K28" s="132"/>
      <c r="L28" s="133"/>
      <c r="M28" s="131" t="s">
        <v>77</v>
      </c>
      <c r="N28" s="132"/>
      <c r="O28" s="133"/>
      <c r="P28" s="30" t="s">
        <v>261</v>
      </c>
      <c r="Q28" s="36">
        <v>30274.59</v>
      </c>
      <c r="R28" s="49">
        <f t="shared" si="4"/>
        <v>6054.9180000000006</v>
      </c>
      <c r="S28" s="31">
        <f t="shared" si="5"/>
        <v>36329.508000000002</v>
      </c>
      <c r="T28" s="32"/>
      <c r="U28" s="31"/>
      <c r="V28" s="31">
        <f t="shared" si="6"/>
        <v>287.00311320000003</v>
      </c>
      <c r="W28" s="36">
        <f t="shared" si="7"/>
        <v>36616.511113200002</v>
      </c>
      <c r="X28" s="30" t="s">
        <v>261</v>
      </c>
      <c r="Y28" s="30" t="s">
        <v>460</v>
      </c>
      <c r="Z28" s="29" t="s">
        <v>103</v>
      </c>
    </row>
    <row r="29" spans="1:26" ht="79.5" customHeight="1" thickBot="1" x14ac:dyDescent="0.25">
      <c r="A29" s="195" t="s">
        <v>6</v>
      </c>
      <c r="B29" s="196"/>
      <c r="C29" s="196"/>
      <c r="D29" s="196"/>
      <c r="E29" s="196"/>
      <c r="F29" s="196"/>
      <c r="G29" s="196"/>
      <c r="H29" s="196"/>
      <c r="I29" s="196"/>
      <c r="J29" s="196"/>
      <c r="K29" s="196"/>
      <c r="L29" s="196"/>
      <c r="M29" s="196"/>
      <c r="N29" s="196"/>
      <c r="O29" s="196"/>
      <c r="P29" s="197"/>
      <c r="Q29" s="36">
        <f>SUM(Q8:Q28)</f>
        <v>742922.19999999984</v>
      </c>
      <c r="R29" s="31">
        <f>SUM(R8:R28)</f>
        <v>148584.44000000003</v>
      </c>
      <c r="S29" s="31">
        <f>SUM(S8:S28)</f>
        <v>891506.6399999999</v>
      </c>
      <c r="T29" s="33" t="s">
        <v>30</v>
      </c>
      <c r="U29" s="31"/>
      <c r="V29" s="31">
        <f>SUM(V8:V28)</f>
        <v>7042.9024559999998</v>
      </c>
      <c r="W29" s="36">
        <f>SUM(W8:W28)</f>
        <v>898549.542456</v>
      </c>
      <c r="X29" s="32"/>
      <c r="Y29" s="30"/>
      <c r="Z29" s="34"/>
    </row>
    <row r="30" spans="1:26" ht="42.75" customHeight="1" thickBot="1" x14ac:dyDescent="0.25">
      <c r="A30" s="233" t="s">
        <v>28</v>
      </c>
      <c r="B30" s="234"/>
      <c r="C30" s="234"/>
      <c r="D30" s="234"/>
      <c r="E30" s="234"/>
      <c r="F30" s="234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35"/>
      <c r="T30" s="189" t="s">
        <v>11</v>
      </c>
      <c r="U30" s="190"/>
      <c r="V30" s="191"/>
      <c r="W30" s="192" t="s">
        <v>73</v>
      </c>
      <c r="X30" s="193"/>
      <c r="Y30" s="193"/>
      <c r="Z30" s="194"/>
    </row>
    <row r="31" spans="1:26" ht="49.5" customHeight="1" thickBot="1" x14ac:dyDescent="0.25">
      <c r="A31" s="233" t="s">
        <v>29</v>
      </c>
      <c r="B31" s="234"/>
      <c r="C31" s="234"/>
      <c r="D31" s="234"/>
      <c r="E31" s="234"/>
      <c r="F31" s="234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4"/>
      <c r="S31" s="235"/>
      <c r="T31" s="189" t="s">
        <v>12</v>
      </c>
      <c r="U31" s="190"/>
      <c r="V31" s="191"/>
      <c r="W31" s="192" t="s">
        <v>455</v>
      </c>
      <c r="X31" s="193"/>
      <c r="Y31" s="193"/>
      <c r="Z31" s="194"/>
    </row>
    <row r="32" spans="1:26" ht="39" customHeight="1" thickBot="1" x14ac:dyDescent="0.4">
      <c r="A32" s="180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2"/>
      <c r="T32" s="189" t="s">
        <v>13</v>
      </c>
      <c r="U32" s="190"/>
      <c r="V32" s="191"/>
      <c r="W32" s="192" t="s">
        <v>32</v>
      </c>
      <c r="X32" s="193"/>
      <c r="Y32" s="193"/>
      <c r="Z32" s="194"/>
    </row>
    <row r="33" spans="1:26" ht="57.75" customHeight="1" thickBot="1" x14ac:dyDescent="0.45">
      <c r="A33" s="177"/>
      <c r="B33" s="178"/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s="178"/>
      <c r="N33" s="178"/>
      <c r="O33" s="178"/>
      <c r="P33" s="178"/>
      <c r="Q33" s="178"/>
      <c r="R33" s="178"/>
      <c r="S33" s="179"/>
      <c r="T33" s="189" t="s">
        <v>14</v>
      </c>
      <c r="U33" s="190"/>
      <c r="V33" s="191"/>
      <c r="W33" s="186"/>
      <c r="X33" s="187"/>
      <c r="Y33" s="187"/>
      <c r="Z33" s="188"/>
    </row>
    <row r="34" spans="1:26" ht="38.25" customHeight="1" x14ac:dyDescent="0.2">
      <c r="C34" s="2"/>
    </row>
    <row r="35" spans="1:26" ht="38.25" customHeight="1" x14ac:dyDescent="0.2"/>
    <row r="36" spans="1:26" ht="12.75" customHeight="1" x14ac:dyDescent="0.2"/>
    <row r="37" spans="1:26" ht="12.75" customHeight="1" x14ac:dyDescent="0.2"/>
    <row r="38" spans="1:26" ht="12.75" customHeight="1" x14ac:dyDescent="0.2"/>
    <row r="39" spans="1:26" ht="12.75" customHeight="1" x14ac:dyDescent="0.2"/>
    <row r="40" spans="1:26" ht="12.75" customHeight="1" x14ac:dyDescent="0.2"/>
    <row r="41" spans="1:26" ht="12.75" customHeight="1" x14ac:dyDescent="0.2"/>
  </sheetData>
  <autoFilter ref="A5:Z31" xr:uid="{00000000-0009-0000-0000-00000B000000}">
    <filterColumn colId="4" showButton="0"/>
    <filterColumn colId="5" showButton="0"/>
    <filterColumn colId="6" showButton="0"/>
    <filterColumn colId="8" showButton="0"/>
    <filterColumn colId="9" showButton="0"/>
    <filterColumn colId="10" showButton="0"/>
    <filterColumn colId="12" showButton="0"/>
    <filterColumn colId="13" showButton="0"/>
  </autoFilter>
  <mergeCells count="99">
    <mergeCell ref="W31:Z31"/>
    <mergeCell ref="W30:Z30"/>
    <mergeCell ref="A32:S32"/>
    <mergeCell ref="T32:V32"/>
    <mergeCell ref="W32:Z32"/>
    <mergeCell ref="A33:S33"/>
    <mergeCell ref="T33:V33"/>
    <mergeCell ref="W33:Z33"/>
    <mergeCell ref="A1:Z1"/>
    <mergeCell ref="A2:Z4"/>
    <mergeCell ref="A5:A6"/>
    <mergeCell ref="B5:B6"/>
    <mergeCell ref="C5:C6"/>
    <mergeCell ref="D5:D6"/>
    <mergeCell ref="E5:H6"/>
    <mergeCell ref="I5:L6"/>
    <mergeCell ref="M5:O6"/>
    <mergeCell ref="P5:P6"/>
    <mergeCell ref="W5:W6"/>
    <mergeCell ref="X5:X6"/>
    <mergeCell ref="Y5:Y6"/>
    <mergeCell ref="Z5:Z6"/>
    <mergeCell ref="S5:S6"/>
    <mergeCell ref="T5:T6"/>
    <mergeCell ref="U5:U6"/>
    <mergeCell ref="V5:V6"/>
    <mergeCell ref="E9:H9"/>
    <mergeCell ref="I9:L9"/>
    <mergeCell ref="M9:O9"/>
    <mergeCell ref="E8:F8"/>
    <mergeCell ref="I8:L8"/>
    <mergeCell ref="M8:O8"/>
    <mergeCell ref="Q5:Q6"/>
    <mergeCell ref="R5:R6"/>
    <mergeCell ref="E7:F7"/>
    <mergeCell ref="I7:L7"/>
    <mergeCell ref="M7:O7"/>
    <mergeCell ref="E12:F12"/>
    <mergeCell ref="I12:L12"/>
    <mergeCell ref="M12:O12"/>
    <mergeCell ref="E13:F13"/>
    <mergeCell ref="I13:L13"/>
    <mergeCell ref="M13:O13"/>
    <mergeCell ref="I10:L10"/>
    <mergeCell ref="M10:O10"/>
    <mergeCell ref="E11:F11"/>
    <mergeCell ref="I11:L11"/>
    <mergeCell ref="M11:O11"/>
    <mergeCell ref="E10:H10"/>
    <mergeCell ref="E14:F14"/>
    <mergeCell ref="I14:L14"/>
    <mergeCell ref="M14:O14"/>
    <mergeCell ref="A31:S31"/>
    <mergeCell ref="T31:V31"/>
    <mergeCell ref="A30:S30"/>
    <mergeCell ref="T30:V30"/>
    <mergeCell ref="A29:P29"/>
    <mergeCell ref="E15:F15"/>
    <mergeCell ref="I15:L15"/>
    <mergeCell ref="M15:O15"/>
    <mergeCell ref="E16:F16"/>
    <mergeCell ref="E17:F17"/>
    <mergeCell ref="E18:F18"/>
    <mergeCell ref="I16:L16"/>
    <mergeCell ref="M16:O16"/>
    <mergeCell ref="E19:F19"/>
    <mergeCell ref="I17:L17"/>
    <mergeCell ref="M17:O17"/>
    <mergeCell ref="E20:F20"/>
    <mergeCell ref="I18:L18"/>
    <mergeCell ref="I19:L19"/>
    <mergeCell ref="I20:L20"/>
    <mergeCell ref="M18:O18"/>
    <mergeCell ref="M19:O19"/>
    <mergeCell ref="M20:O20"/>
    <mergeCell ref="E26:F26"/>
    <mergeCell ref="E28:F28"/>
    <mergeCell ref="E21:F21"/>
    <mergeCell ref="E22:F22"/>
    <mergeCell ref="E23:F23"/>
    <mergeCell ref="E24:F24"/>
    <mergeCell ref="E25:F25"/>
    <mergeCell ref="E27:F27"/>
    <mergeCell ref="I26:L26"/>
    <mergeCell ref="I28:L28"/>
    <mergeCell ref="I21:L21"/>
    <mergeCell ref="I22:L22"/>
    <mergeCell ref="I23:L23"/>
    <mergeCell ref="I24:L24"/>
    <mergeCell ref="I25:L25"/>
    <mergeCell ref="I27:L27"/>
    <mergeCell ref="M26:O26"/>
    <mergeCell ref="M28:O28"/>
    <mergeCell ref="M21:O21"/>
    <mergeCell ref="M22:O22"/>
    <mergeCell ref="M23:O23"/>
    <mergeCell ref="M24:O24"/>
    <mergeCell ref="M25:O25"/>
    <mergeCell ref="M27:O27"/>
  </mergeCells>
  <phoneticPr fontId="27" type="noConversion"/>
  <pageMargins left="0.9055118110236221" right="0.15748031496062992" top="0.43307086614173229" bottom="0" header="0.15748031496062992" footer="0.15748031496062992"/>
  <pageSetup paperSize="9" scale="37" orientation="landscape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6"/>
  <sheetViews>
    <sheetView view="pageBreakPreview" zoomScale="60" zoomScaleNormal="100" workbookViewId="0">
      <selection activeCell="N13" sqref="N13"/>
    </sheetView>
  </sheetViews>
  <sheetFormatPr defaultRowHeight="12.75" x14ac:dyDescent="0.2"/>
  <cols>
    <col min="1" max="1" width="27.140625" style="5" customWidth="1"/>
    <col min="2" max="2" width="28.85546875" style="5" customWidth="1"/>
    <col min="3" max="3" width="24.7109375" style="5" bestFit="1" customWidth="1"/>
    <col min="4" max="4" width="57.42578125" style="5" bestFit="1" customWidth="1"/>
    <col min="5" max="16384" width="9.140625" style="5"/>
  </cols>
  <sheetData>
    <row r="1" spans="1:4" ht="109.5" customHeight="1" thickTop="1" x14ac:dyDescent="0.2">
      <c r="A1" s="255" t="s">
        <v>56</v>
      </c>
      <c r="B1" s="256"/>
      <c r="C1" s="256"/>
      <c r="D1" s="257"/>
    </row>
    <row r="2" spans="1:4" ht="54" customHeight="1" x14ac:dyDescent="0.2">
      <c r="A2" s="15" t="s">
        <v>57</v>
      </c>
      <c r="B2" s="16" t="s">
        <v>58</v>
      </c>
      <c r="C2" s="17" t="s">
        <v>59</v>
      </c>
      <c r="D2" s="18" t="s">
        <v>60</v>
      </c>
    </row>
    <row r="3" spans="1:4" ht="54" customHeight="1" x14ac:dyDescent="0.2">
      <c r="A3" s="19" t="s">
        <v>61</v>
      </c>
      <c r="B3" s="20">
        <v>11</v>
      </c>
      <c r="C3" s="21">
        <f>Ocak!W34</f>
        <v>0</v>
      </c>
      <c r="D3" s="22"/>
    </row>
    <row r="4" spans="1:4" ht="54" customHeight="1" x14ac:dyDescent="0.2">
      <c r="A4" s="19" t="s">
        <v>62</v>
      </c>
      <c r="B4" s="20">
        <v>16</v>
      </c>
      <c r="C4" s="21">
        <f>Şubat!Q40</f>
        <v>0</v>
      </c>
      <c r="D4" s="22"/>
    </row>
    <row r="5" spans="1:4" ht="54" customHeight="1" x14ac:dyDescent="0.2">
      <c r="A5" s="19" t="s">
        <v>63</v>
      </c>
      <c r="B5" s="20">
        <v>7</v>
      </c>
      <c r="C5" s="21">
        <f>Mart!W33</f>
        <v>0</v>
      </c>
      <c r="D5" s="22"/>
    </row>
    <row r="6" spans="1:4" ht="54" customHeight="1" x14ac:dyDescent="0.2">
      <c r="A6" s="19" t="s">
        <v>64</v>
      </c>
      <c r="B6" s="20">
        <v>4</v>
      </c>
      <c r="C6" s="21">
        <f>Nisan!W14</f>
        <v>0</v>
      </c>
      <c r="D6" s="39"/>
    </row>
    <row r="7" spans="1:4" ht="54" customHeight="1" x14ac:dyDescent="0.2">
      <c r="A7" s="19" t="s">
        <v>65</v>
      </c>
      <c r="B7" s="20">
        <v>8</v>
      </c>
      <c r="C7" s="21">
        <f>Mayıs!W33</f>
        <v>0</v>
      </c>
      <c r="D7" s="22"/>
    </row>
    <row r="8" spans="1:4" ht="54" customHeight="1" x14ac:dyDescent="0.2">
      <c r="A8" s="19" t="s">
        <v>66</v>
      </c>
      <c r="B8" s="20">
        <v>9</v>
      </c>
      <c r="C8" s="21">
        <f>Haziran!W33</f>
        <v>0</v>
      </c>
      <c r="D8" s="39"/>
    </row>
    <row r="9" spans="1:4" ht="54" customHeight="1" x14ac:dyDescent="0.2">
      <c r="A9" s="19" t="s">
        <v>67</v>
      </c>
      <c r="B9" s="20">
        <v>21</v>
      </c>
      <c r="C9" s="21">
        <f>Temmuz!W32</f>
        <v>0</v>
      </c>
      <c r="D9" s="39"/>
    </row>
    <row r="10" spans="1:4" ht="54" customHeight="1" x14ac:dyDescent="0.2">
      <c r="A10" s="19" t="s">
        <v>68</v>
      </c>
      <c r="B10" s="20">
        <v>7</v>
      </c>
      <c r="C10" s="21">
        <f>Ağustos!W33</f>
        <v>370634.04297359998</v>
      </c>
      <c r="D10" s="39"/>
    </row>
    <row r="11" spans="1:4" ht="54" customHeight="1" x14ac:dyDescent="0.2">
      <c r="A11" s="19" t="s">
        <v>69</v>
      </c>
      <c r="B11" s="20">
        <v>12</v>
      </c>
      <c r="C11" s="21">
        <f>Eylül!W25</f>
        <v>319053.01075919997</v>
      </c>
      <c r="D11" s="22"/>
    </row>
    <row r="12" spans="1:4" ht="54" customHeight="1" x14ac:dyDescent="0.2">
      <c r="A12" s="19" t="s">
        <v>70</v>
      </c>
      <c r="B12" s="20">
        <v>17</v>
      </c>
      <c r="C12" s="21">
        <f>Ekim!W26</f>
        <v>534865.78839720006</v>
      </c>
      <c r="D12" s="22"/>
    </row>
    <row r="13" spans="1:4" ht="54" customHeight="1" x14ac:dyDescent="0.2">
      <c r="A13" s="19" t="s">
        <v>71</v>
      </c>
      <c r="B13" s="20">
        <v>17</v>
      </c>
      <c r="C13" s="21">
        <f>KASIM!W31</f>
        <v>675165.19021680008</v>
      </c>
      <c r="D13" s="22"/>
    </row>
    <row r="14" spans="1:4" ht="54" customHeight="1" x14ac:dyDescent="0.2">
      <c r="A14" s="19" t="s">
        <v>72</v>
      </c>
      <c r="B14" s="20">
        <v>21</v>
      </c>
      <c r="C14" s="21">
        <f>Aralık!W29</f>
        <v>898549.542456</v>
      </c>
      <c r="D14" s="22"/>
    </row>
    <row r="15" spans="1:4" ht="64.5" customHeight="1" thickBot="1" x14ac:dyDescent="0.35">
      <c r="A15" s="23" t="s">
        <v>6</v>
      </c>
      <c r="B15" s="24">
        <v>149</v>
      </c>
      <c r="C15" s="24">
        <f>SUM(C3:C14)</f>
        <v>2798267.5748028001</v>
      </c>
      <c r="D15" s="25"/>
    </row>
    <row r="16" spans="1:4" ht="13.5" thickTop="1" x14ac:dyDescent="0.2"/>
  </sheetData>
  <mergeCells count="1">
    <mergeCell ref="A1:D1"/>
  </mergeCells>
  <pageMargins left="0.7" right="0.7" top="0.75" bottom="0.75" header="0.3" footer="0.3"/>
  <pageSetup paperSize="9" scale="6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9"/>
  <sheetViews>
    <sheetView view="pageBreakPreview" topLeftCell="A7" zoomScaleNormal="100" zoomScaleSheetLayoutView="100" workbookViewId="0">
      <selection activeCell="F27" sqref="F27"/>
    </sheetView>
  </sheetViews>
  <sheetFormatPr defaultRowHeight="12.75" x14ac:dyDescent="0.2"/>
  <cols>
    <col min="1" max="1" width="24.5703125" style="5" customWidth="1"/>
    <col min="2" max="2" width="26.5703125" style="5" customWidth="1"/>
    <col min="3" max="3" width="20.85546875" style="5" customWidth="1"/>
    <col min="4" max="5" width="22.5703125" style="5" customWidth="1"/>
    <col min="6" max="6" width="24" style="5" customWidth="1"/>
    <col min="7" max="7" width="24.140625" style="5" customWidth="1"/>
    <col min="8" max="16384" width="9.140625" style="5"/>
  </cols>
  <sheetData>
    <row r="1" spans="1:10" ht="51.75" customHeight="1" x14ac:dyDescent="0.2">
      <c r="A1" s="259" t="s">
        <v>99</v>
      </c>
      <c r="B1" s="260"/>
      <c r="C1" s="260"/>
      <c r="D1" s="260"/>
      <c r="E1" s="260"/>
      <c r="F1" s="260"/>
      <c r="G1" s="261"/>
    </row>
    <row r="2" spans="1:10" s="63" customFormat="1" ht="40.5" customHeight="1" x14ac:dyDescent="0.2">
      <c r="A2" s="6" t="s">
        <v>36</v>
      </c>
      <c r="B2" s="6" t="s">
        <v>37</v>
      </c>
      <c r="C2" s="7" t="s">
        <v>38</v>
      </c>
      <c r="D2" s="7" t="s">
        <v>39</v>
      </c>
      <c r="E2" s="7" t="s">
        <v>40</v>
      </c>
      <c r="F2" s="7" t="s">
        <v>41</v>
      </c>
      <c r="G2" s="7" t="s">
        <v>42</v>
      </c>
    </row>
    <row r="3" spans="1:10" ht="36.75" customHeight="1" x14ac:dyDescent="0.2">
      <c r="A3" s="8" t="s">
        <v>43</v>
      </c>
      <c r="B3" s="9">
        <v>11</v>
      </c>
      <c r="C3" s="10">
        <v>233338.17</v>
      </c>
      <c r="D3" s="10">
        <v>46667.63</v>
      </c>
      <c r="E3" s="10">
        <f>Ocak!V34</f>
        <v>0</v>
      </c>
      <c r="F3" s="10"/>
      <c r="G3" s="10">
        <f>Ocak!W34</f>
        <v>0</v>
      </c>
    </row>
    <row r="4" spans="1:10" ht="36.75" customHeight="1" x14ac:dyDescent="0.2">
      <c r="A4" s="8" t="s">
        <v>44</v>
      </c>
      <c r="B4" s="9">
        <v>16</v>
      </c>
      <c r="C4" s="84">
        <f>Şubat!Q40</f>
        <v>0</v>
      </c>
      <c r="D4" s="10">
        <f>Şubat!R40</f>
        <v>0</v>
      </c>
      <c r="E4" s="10">
        <f>Şubat!V40</f>
        <v>0</v>
      </c>
      <c r="F4" s="10"/>
      <c r="G4" s="10">
        <f>Şubat!W40</f>
        <v>0</v>
      </c>
    </row>
    <row r="5" spans="1:10" ht="36.75" customHeight="1" x14ac:dyDescent="0.2">
      <c r="A5" s="8" t="s">
        <v>45</v>
      </c>
      <c r="B5" s="9">
        <v>7</v>
      </c>
      <c r="C5" s="10">
        <f>Mart!Q33</f>
        <v>0</v>
      </c>
      <c r="D5" s="10">
        <f>Mart!S33</f>
        <v>0</v>
      </c>
      <c r="E5" s="10">
        <f>Mart!V33</f>
        <v>0</v>
      </c>
      <c r="F5" s="10"/>
      <c r="G5" s="10">
        <f>Mart!W33</f>
        <v>0</v>
      </c>
    </row>
    <row r="6" spans="1:10" ht="36.75" customHeight="1" x14ac:dyDescent="0.2">
      <c r="A6" s="8" t="s">
        <v>46</v>
      </c>
      <c r="B6" s="9">
        <v>4</v>
      </c>
      <c r="C6" s="10">
        <f>Nisan!Q14</f>
        <v>0</v>
      </c>
      <c r="D6" s="10">
        <f>Nisan!S14</f>
        <v>0</v>
      </c>
      <c r="E6" s="10">
        <f>Nisan!V14</f>
        <v>0</v>
      </c>
      <c r="F6" s="10"/>
      <c r="G6" s="10">
        <f>Nisan!W14</f>
        <v>0</v>
      </c>
      <c r="I6" s="11"/>
      <c r="J6" s="5" t="s">
        <v>74</v>
      </c>
    </row>
    <row r="7" spans="1:10" ht="36.75" customHeight="1" x14ac:dyDescent="0.2">
      <c r="A7" s="8" t="s">
        <v>47</v>
      </c>
      <c r="B7" s="9">
        <v>8</v>
      </c>
      <c r="C7" s="10">
        <f>Mayıs!Q33</f>
        <v>0</v>
      </c>
      <c r="D7" s="10">
        <f>Mayıs!S33</f>
        <v>0</v>
      </c>
      <c r="E7" s="10">
        <f>Mayıs!V33</f>
        <v>0</v>
      </c>
      <c r="F7" s="10"/>
      <c r="G7" s="10">
        <f>Mayıs!W33</f>
        <v>0</v>
      </c>
    </row>
    <row r="8" spans="1:10" ht="36.75" customHeight="1" x14ac:dyDescent="0.2">
      <c r="A8" s="8" t="s">
        <v>48</v>
      </c>
      <c r="B8" s="9">
        <v>9</v>
      </c>
      <c r="C8" s="10">
        <f>Haziran!Q33</f>
        <v>0</v>
      </c>
      <c r="D8" s="10">
        <f>Haziran!S33</f>
        <v>0</v>
      </c>
      <c r="E8" s="10">
        <f>Haziran!V33</f>
        <v>0</v>
      </c>
      <c r="F8" s="10"/>
      <c r="G8" s="10">
        <f>Haziran!W33</f>
        <v>0</v>
      </c>
      <c r="I8" s="12"/>
    </row>
    <row r="9" spans="1:10" ht="36.75" customHeight="1" x14ac:dyDescent="0.2">
      <c r="A9" s="8" t="s">
        <v>49</v>
      </c>
      <c r="B9" s="9">
        <v>21</v>
      </c>
      <c r="C9" s="10">
        <f>Temmuz!Q32</f>
        <v>0</v>
      </c>
      <c r="D9" s="10">
        <f>Temmuz!S32</f>
        <v>0</v>
      </c>
      <c r="E9" s="10">
        <f>Temmuz!V32</f>
        <v>0</v>
      </c>
      <c r="F9" s="10"/>
      <c r="G9" s="10">
        <f>Temmuz!W32</f>
        <v>0</v>
      </c>
    </row>
    <row r="10" spans="1:10" ht="36.75" customHeight="1" x14ac:dyDescent="0.2">
      <c r="A10" s="8" t="s">
        <v>50</v>
      </c>
      <c r="B10" s="9">
        <v>7</v>
      </c>
      <c r="C10" s="10">
        <f>Ağustos!Q33</f>
        <v>306440.82000000007</v>
      </c>
      <c r="D10" s="10">
        <f>Ağustos!S33</f>
        <v>367728.984</v>
      </c>
      <c r="E10" s="10">
        <f>Ağustos!V33</f>
        <v>2905.0589736000002</v>
      </c>
      <c r="F10" s="10"/>
      <c r="G10" s="10">
        <f>Ağustos!W33</f>
        <v>370634.04297359998</v>
      </c>
    </row>
    <row r="11" spans="1:10" ht="36.75" customHeight="1" x14ac:dyDescent="0.2">
      <c r="A11" s="8" t="s">
        <v>51</v>
      </c>
      <c r="B11" s="9">
        <v>12</v>
      </c>
      <c r="C11" s="10">
        <f>Eylül!Q25</f>
        <v>263793.53999999998</v>
      </c>
      <c r="D11" s="10">
        <f>Eylül!S25</f>
        <v>316552.24800000002</v>
      </c>
      <c r="E11" s="10">
        <f>Eylül!V25</f>
        <v>2500.7627591999999</v>
      </c>
      <c r="F11" s="10"/>
      <c r="G11" s="10">
        <f>Eylül!W25</f>
        <v>319053.01075919997</v>
      </c>
    </row>
    <row r="12" spans="1:10" ht="33" customHeight="1" x14ac:dyDescent="0.2">
      <c r="A12" s="8" t="s">
        <v>52</v>
      </c>
      <c r="B12" s="9">
        <v>17</v>
      </c>
      <c r="C12" s="10">
        <f>Ekim!Q26</f>
        <v>442227.89</v>
      </c>
      <c r="D12" s="10">
        <f>Ekim!S26</f>
        <v>530673.46799999999</v>
      </c>
      <c r="E12" s="10">
        <f>Ekim!V26</f>
        <v>4192.3203972000001</v>
      </c>
      <c r="F12" s="10"/>
      <c r="G12" s="10">
        <f>Ekim!W26</f>
        <v>534865.78839720006</v>
      </c>
    </row>
    <row r="13" spans="1:10" ht="36.75" customHeight="1" x14ac:dyDescent="0.2">
      <c r="A13" s="8" t="s">
        <v>53</v>
      </c>
      <c r="B13" s="9">
        <v>17</v>
      </c>
      <c r="C13" s="10">
        <f>KASIM!Q31</f>
        <v>558227.65999999992</v>
      </c>
      <c r="D13" s="10">
        <f>KASIM!S31</f>
        <v>669873.19199999992</v>
      </c>
      <c r="E13" s="10">
        <f>KASIM!V31</f>
        <v>5291.9982167999997</v>
      </c>
      <c r="F13" s="10"/>
      <c r="G13" s="10">
        <f>KASIM!W31</f>
        <v>675165.19021680008</v>
      </c>
    </row>
    <row r="14" spans="1:10" ht="36.75" customHeight="1" x14ac:dyDescent="0.2">
      <c r="A14" s="8" t="s">
        <v>54</v>
      </c>
      <c r="B14" s="9">
        <v>21</v>
      </c>
      <c r="C14" s="10">
        <f>Aralık!Q29</f>
        <v>742922.19999999984</v>
      </c>
      <c r="D14" s="10">
        <f>Aralık!S29</f>
        <v>891506.6399999999</v>
      </c>
      <c r="E14" s="10">
        <f>Aralık!V29</f>
        <v>7042.9024559999998</v>
      </c>
      <c r="F14" s="10"/>
      <c r="G14" s="10">
        <f>Aralık!W29</f>
        <v>898549.542456</v>
      </c>
    </row>
    <row r="15" spans="1:10" ht="41.25" customHeight="1" x14ac:dyDescent="0.2">
      <c r="A15" s="13" t="s">
        <v>55</v>
      </c>
      <c r="B15" s="65">
        <f t="shared" ref="B15:E15" si="0">SUM(B3:B14)</f>
        <v>150</v>
      </c>
      <c r="C15" s="14">
        <f>SUM(C3:C14)</f>
        <v>2546950.2799999998</v>
      </c>
      <c r="D15" s="14">
        <f>SUM(D3:D14)</f>
        <v>2823002.1619999995</v>
      </c>
      <c r="E15" s="14">
        <f t="shared" si="0"/>
        <v>21933.042802799999</v>
      </c>
      <c r="F15" s="14">
        <f>SUM(F3:F14)</f>
        <v>0</v>
      </c>
      <c r="G15" s="14">
        <f>SUM(G3:G14)</f>
        <v>2798267.5748028001</v>
      </c>
    </row>
    <row r="17" spans="1:7" ht="12" customHeight="1" x14ac:dyDescent="0.2">
      <c r="A17" s="262" t="s">
        <v>11</v>
      </c>
      <c r="B17" s="262"/>
      <c r="C17" s="262" t="s">
        <v>85</v>
      </c>
      <c r="D17" s="262"/>
      <c r="E17" s="262"/>
      <c r="F17" s="262" t="s">
        <v>86</v>
      </c>
      <c r="G17" s="262"/>
    </row>
    <row r="18" spans="1:7" ht="17.25" customHeight="1" x14ac:dyDescent="0.2">
      <c r="A18" s="258" t="s">
        <v>73</v>
      </c>
      <c r="B18" s="258"/>
      <c r="C18" s="258" t="s">
        <v>461</v>
      </c>
      <c r="D18" s="258"/>
      <c r="E18" s="258"/>
      <c r="F18" s="258" t="s">
        <v>104</v>
      </c>
      <c r="G18" s="258"/>
    </row>
    <row r="19" spans="1:7" ht="12.75" customHeight="1" x14ac:dyDescent="0.2">
      <c r="A19" s="258" t="s">
        <v>87</v>
      </c>
      <c r="B19" s="258"/>
      <c r="C19" s="258" t="s">
        <v>462</v>
      </c>
      <c r="D19" s="258"/>
      <c r="E19" s="258"/>
      <c r="F19" s="258" t="s">
        <v>88</v>
      </c>
      <c r="G19" s="258"/>
    </row>
  </sheetData>
  <mergeCells count="10">
    <mergeCell ref="C19:E19"/>
    <mergeCell ref="F18:G18"/>
    <mergeCell ref="F19:G19"/>
    <mergeCell ref="A1:G1"/>
    <mergeCell ref="A17:B17"/>
    <mergeCell ref="C17:E17"/>
    <mergeCell ref="F17:G17"/>
    <mergeCell ref="A18:B18"/>
    <mergeCell ref="A19:B19"/>
    <mergeCell ref="C18:E18"/>
  </mergeCells>
  <pageMargins left="0.59055118110236227" right="0.59055118110236227" top="0.59055118110236227" bottom="0.59055118110236227" header="0.19685039370078741" footer="0.19685039370078741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14</vt:i4>
      </vt:variant>
      <vt:variant>
        <vt:lpstr>Adlandırılmış Aralıklar</vt:lpstr>
      </vt:variant>
      <vt:variant>
        <vt:i4>13</vt:i4>
      </vt:variant>
    </vt:vector>
  </HeadingPairs>
  <TitlesOfParts>
    <vt:vector size="27" baseType="lpstr">
      <vt:lpstr>Ocak</vt:lpstr>
      <vt:lpstr>Şubat</vt:lpstr>
      <vt:lpstr>Mart</vt:lpstr>
      <vt:lpstr>Nisan</vt:lpstr>
      <vt:lpstr>Mayıs</vt:lpstr>
      <vt:lpstr>Haziran</vt:lpstr>
      <vt:lpstr>Temmuz</vt:lpstr>
      <vt:lpstr>Ağustos</vt:lpstr>
      <vt:lpstr>Eylül</vt:lpstr>
      <vt:lpstr>Ekim</vt:lpstr>
      <vt:lpstr>KASIM</vt:lpstr>
      <vt:lpstr>Aralık</vt:lpstr>
      <vt:lpstr>Sayfa1</vt:lpstr>
      <vt:lpstr>Sayfa2</vt:lpstr>
      <vt:lpstr>Ağustos!Yazdırma_Alanı</vt:lpstr>
      <vt:lpstr>Aralık!Yazdırma_Alanı</vt:lpstr>
      <vt:lpstr>Eylül!Yazdırma_Alanı</vt:lpstr>
      <vt:lpstr>Haziran!Yazdırma_Alanı</vt:lpstr>
      <vt:lpstr>KASIM!Yazdırma_Alanı</vt:lpstr>
      <vt:lpstr>Mart!Yazdırma_Alanı</vt:lpstr>
      <vt:lpstr>Mayıs!Yazdırma_Alanı</vt:lpstr>
      <vt:lpstr>Nisan!Yazdırma_Alanı</vt:lpstr>
      <vt:lpstr>Ocak!Yazdırma_Alanı</vt:lpstr>
      <vt:lpstr>Sayfa1!Yazdırma_Alanı</vt:lpstr>
      <vt:lpstr>Sayfa2!Yazdırma_Alanı</vt:lpstr>
      <vt:lpstr>Şubat!Yazdırma_Alanı</vt:lpstr>
      <vt:lpstr>Temmuz!Yazdırma_Alanı</vt:lpstr>
    </vt:vector>
  </TitlesOfParts>
  <Company>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</dc:creator>
  <cp:lastModifiedBy>Sibel Gümüş</cp:lastModifiedBy>
  <cp:lastPrinted>2026-01-21T07:15:11Z</cp:lastPrinted>
  <dcterms:created xsi:type="dcterms:W3CDTF">2005-12-29T21:44:19Z</dcterms:created>
  <dcterms:modified xsi:type="dcterms:W3CDTF">2026-02-09T06:32:51Z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473900703</vt:i4>
  </property>
  <property fmtid="{D5CDD505-2E9C-101B-9397-08002B2CF9AE}" pid="3" name="_EmailSubject">
    <vt:lpwstr>2011 Yeni protokol düzenleme esasları İç Genelge, Yeni protokol yazısı, yeni protokol listesi.</vt:lpwstr>
  </property>
  <property fmtid="{D5CDD505-2E9C-101B-9397-08002B2CF9AE}" pid="4" name="_AuthorEmail">
    <vt:lpwstr>ngungor2@kgm.gov.tr</vt:lpwstr>
  </property>
  <property fmtid="{D5CDD505-2E9C-101B-9397-08002B2CF9AE}" pid="5" name="_AuthorEmailDisplayName">
    <vt:lpwstr>Nilgün Güngör</vt:lpwstr>
  </property>
  <property fmtid="{D5CDD505-2E9C-101B-9397-08002B2CF9AE}" pid="6" name="_PreviousAdHocReviewCycleID">
    <vt:i4>1495511211</vt:i4>
  </property>
  <property fmtid="{D5CDD505-2E9C-101B-9397-08002B2CF9AE}" pid="7" name="_ReviewingToolsShownOnce">
    <vt:lpwstr/>
  </property>
</Properties>
</file>